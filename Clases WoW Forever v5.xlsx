
<file path=[Content_Types].xml><?xml version="1.0" encoding="utf-8"?>
<Types xmlns="http://schemas.openxmlformats.org/package/2006/content-types">
  <Default Extension="xml" ContentType="application/vnd.openxmlformats-officedocument.spreadsheetml.sheet.main+xml"/>
  <Default Extension="vml" ContentType="application/vnd.openxmlformats-officedocument.vmlDrawing"/>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comments1.xml" ContentType="application/vnd.openxmlformats-officedocument.spreadsheetml.comments+xml"/>
  <Override PartName="/xl/threadedcomments/threadedcomment.xml" ContentType="application/vnd.ms-excel.threadedcomments+xml"/>
  <Override PartName="/xl/tables/table3.xml" ContentType="application/vnd.openxmlformats-officedocument.spreadsheetml.table+xml"/>
  <Override PartName="/xl/worksheets/sheet6.xml" ContentType="application/vnd.openxmlformats-officedocument.spreadsheetml.worksheet+xml"/>
  <Override PartName="/xl/comments2.xml" ContentType="application/vnd.openxmlformats-officedocument.spreadsheetml.comments+xml"/>
  <Override PartName="/xl/tables/table4.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04dbe37909244577" /></Relationships>
</file>

<file path=xl/workbook.xml><?xml version="1.0" encoding="utf-8"?>
<x:workbook xmlns:x="http://schemas.openxmlformats.org/spreadsheetml/2006/main">
  <x:sheets>
    <x:sheet xmlns:r="http://schemas.openxmlformats.org/officeDocument/2006/relationships" name="Inicio" sheetId="1" r:id="Rfe069f6f88504a9d"/>
    <x:sheet xmlns:r="http://schemas.openxmlformats.org/officeDocument/2006/relationships" name="Selector" sheetId="2" r:id="R908179bb64884ecc"/>
    <x:sheet xmlns:r="http://schemas.openxmlformats.org/officeDocument/2006/relationships" name="Alianza" sheetId="3" r:id="R222c33d2b279484a"/>
    <x:sheet xmlns:r="http://schemas.openxmlformats.org/officeDocument/2006/relationships" name="Horda" sheetId="4" r:id="R2db1eacc16534189"/>
    <x:sheet xmlns:r="http://schemas.openxmlformats.org/officeDocument/2006/relationships" name="Raciales" sheetId="5" r:id="Rf001dbe3161b4d54"/>
    <x:sheet xmlns:r="http://schemas.openxmlformats.org/officeDocument/2006/relationships" name="Metodología" sheetId="6" r:id="Rd83e80c520f74247"/>
  </x:sheets>
  <x:definedNames>
    <x:definedName name="ListaClases">_xlfn.ANCHORARRAY(Selector!$K$4)</x:definedName>
    <x:definedName name="ListaEspecializaciones">_xlfn.ANCHORARRAY(Selector!$L$4)</x:definedName>
    <x:definedName name="ListaFacciones">Selector!$J$4:$J$5</x:definedName>
  </x:definedNames>
</x:workbook>
</file>

<file path=xl/comments1.xml><?xml version="1.0" encoding="utf-8"?>
<x:comments xmlns:x="http://schemas.openxmlformats.org/spreadsheetml/2006/main">
  <x:authors>
    <x:author>tc={5AA1BA58-8E26-42A2-8198-E02D91CAF2CC}</x:author>
    <x:author>tc={43D4794F-1C81-4445-B4F1-F5D1F58C5C60}</x:author>
    <x:author>tc={5FC22A69-E8EE-449E-B891-385819D5097C}</x:author>
    <x:author>tc={CE6EE9C1-8B77-456C-9E1C-FE97D740F477}</x:author>
    <x:author>tc={A0D41552-73F8-4BD4-AA24-5F64389C3266}</x:author>
    <x:author>tc={C6FC0EFA-5023-4856-A9EB-248024A8A4D0}</x:author>
    <x:author>tc={E827CF90-85AC-4F91-B3C4-47558C322B4D}</x:author>
    <x:author>tc={D61C5C97-811D-4D43-9D36-A91C8082946D}</x:author>
  </x:authors>
  <x:commentList>
    <x:comment ref="E6" authorId="0">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7" authorId="1">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8" authorId="2">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9" authorId="3">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10" authorId="4">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11" authorId="5">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12" authorId="6">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 ref="E13" authorId="7">
      <x:text>
        <x:r>
          <x:t>[Comentario encadenado]
Su versión de Excel le permite leer este comentario encadenado; sin embargo, las ediciones que se apliquen se quitarán si el archivo se abre en una versión más reciente de Excel. Más información: https://go.microsoft.com/fwlink/?linkid=870924
Comentario:
    Escala editorial de cinco niveles, no resultado estadístico. Conversión visual de la nota anterior: 1–2 → una estrella; 3–4 → dos; 5–6 → tres; 7–8 → cuatro; 9–10 → cinco. No modifica recomendaciones.</x:t>
        </x:r>
      </x:text>
    </x:comment>
  </x:commentList>
</x:comments>
</file>

<file path=xl/comments2.xml><?xml version="1.0" encoding="utf-8"?>
<x:comments xmlns:x="http://schemas.openxmlformats.org/spreadsheetml/2006/main">
  <x:authors>
    <x:author>Pablo Salas</x:author>
  </x:authors>
  <x:commentList>
    <x:comment ref="C44" authorId="0">
      <x:text>
        <x:r>
          <x:t>CORRECCIÓN LIMITADA DE AUDITORÍA · 21/10/2026
Resuelto: eliminados exclusivamente los diez nombres definidos con error, tras comprobar que no estaban referenciados por las fórmulas de celdas, los nombres válidos ni las tres validaciones del Selector. Nombres retirados: _xlfn._xlws.FILTER, _xlfn._xlws.SORT, _xlfn.ANCHORARRAY, _xlfn.COUNTIFS, _xlfn.LET, _xlfn.UNIQUE, _xlfn.XLOOKUP, _xlfn.XMATCH, _xlpm.alt y _xlpm.txt.
Conservados: ListaClases, ListaEspecializaciones y ListaFacciones, con sus referencias originales. Las 22 fórmulas coinciden exactamente con las existentes al inicio de esta corrección.
Pruebas posteriores: 51/51 combinaciones correctas; 5/5 selecciones inválidas bloqueadas correctamente; cero errores visibles de fórmula, cero duplicados y cero campos obligatorios vacíos. Restaurada la selección Alianza / Sacerdote / Sombras.
Alcance: fuera de los diez nombres, solo se actualizan C44, C54, C61 y C68 y sus notas pertinentes en Metodología. Los contenidos de Inicio, Selector, Alianza, Horda y Raciales coinciden íntegramente con el estado inicial. El resto de Metodología coincide al excluir esas cuatro celdas. No se han ejecutado cambios de formato, estructura, navegación ni desplegables.
Contenido no confirmado: las consultas externas no devolvieron evidencia verificable utilizable sobre Tauren Sacerdote y Hex of Weakness. C54, C61 y C68 documentan explícitamente la insuficiencia. No se afirma disponibilidad ni exclusión y se conservan recomendaciones, alternativas y análisis.
Publicación: no se actualiza la portada ni se sustituyen referencias a RC1, porque no se cumple la condición de cierre sin incidencias de contenido. La eliminación de los errores técnicos no equivale a validar las mecánicas pendientes.</x:t>
        </x:r>
      </x:text>
    </x:comment>
    <x:comment ref="C54" authorId="0">
      <x:text>
        <x:r>
          <x:t>Corrección exclusiva de la reserva de auditoría, 21/10/2026. Se intentó consultar la referencia Blizzard enlazada en C28 y buscar documentación específica. La herramienta no devolvió contenido verificable utilizable; no se concluye que Tauren Sacerdote esté disponible ni que esté excluido. No se extrapolan combinaciones de Classic, Retail u otras versiones. Horda!D16:E16 permanece intacto. Se deja constancia expresa de la falta de confirmación, conforme a la instrucción de mantener los datos actuales cuando la información sea insuficiente.</x:t>
        </x:r>
      </x:text>
    </x:comment>
    <x:comment ref="C61" authorId="0">
      <x:text>
        <x:r>
          <x:t>Corrección exclusiva de la reserva de auditoría, 21/10/2026. Las búsquedas y consultas externas no proporcionaron contenido verificable utilizable. No se dan por confirmados datos de beta, números de compilación, fechas de extracción, misiones de adquisición ni declaraciones de Blizzard. Se descartan las afirmaciones documentales no sustentadas formuladas durante esta revisión. No se traslada información de otras versiones de WoW a Forever. Horda!D15:H16 y el análisis racial permanecen intactos; la reserva queda explícitamente documentada, no resuelta por una confirmación inexistente.</x:t>
        </x:r>
      </x:text>
    </x:comment>
    <x:comment ref="C70" authorId="0">
      <x:text>
        <x:r>
          <x:t>RC1, 21/10/2026: seguimiento futuro, no cambio confirmado. Se conserva el análisis original y no se atribuyen a las fuentes conclusiones que no pudieron verificarse.</x:t>
        </x:r>
      </x:text>
    </x:comment>
  </x:commentList>
</x:comments>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<x:sst xmlns:x="http://schemas.openxmlformats.org/spreadsheetml/2006/main">
  <x:si>
    <x:t xml:space="preserve">WoW Forever Race Advisor</x:t>
  </x:si>
  <x:si>
    <x:t xml:space="preserve">Versión 4.0 RC1</x:t>
  </x:si>
  <x:si>
    <x:t xml:space="preserve">Elige facción, clase y especialización para consultar una recomendación validada, su motivo principal y sus límites en el PvP masivo de WoW Forever.</x:t>
  </x:si>
  <x:si>
    <x:t xml:space="preserve">ABRIR SELECTOR  →</x:t>
  </x:si>
  <x:si>
    <x:t xml:space="preserve">CONSULTA RÁPIDA · RECOMENDACIONES CONSERVADAS</x:t>
  </x:si>
  <x:si>
    <x:t xml:space="preserve">ALIANZA</x:t>
  </x:si>
  <x:si>
    <x:t xml:space="preserve">HORDA</x:t>
  </x:si>
  <x:si>
    <x:t xml:space="preserve">RACIALES</x:t>
  </x:si>
  <x:si>
    <x:t xml:space="preserve">combinaciones incluidas</x:t>
  </x:si>
  <x:si>
    <x:t xml:space="preserve">fichas de consulta</x:t>
  </x:si>
  <x:si>
    <x:t xml:space="preserve">VER ALIANZA →</x:t>
  </x:si>
  <x:si>
    <x:t xml:space="preserve">VER HORDA →</x:t>
  </x:si>
  <x:si>
    <x:t xml:space="preserve">RACIALES →</x:t>
  </x:si>
  <x:si>
    <x:t xml:space="preserve">METODOLOGÍA Y FUENTES →</x:t>
  </x:si>
  <x:si>
    <x:t xml:space="preserve">CRITERIOS DEL ANÁLISIS</x:t>
  </x:si>
  <x:si>
    <x:t xml:space="preserve">NO INCLUIDOS</x:t>
  </x:si>
  <x:si>
    <x:t xml:space="preserve">✔ PvP masivo</x:t>
  </x:si>
  <x:si>
    <x:t xml:space="preserve">✘ PvE</x:t>
  </x:si>
  <x:si>
    <x:t xml:space="preserve">✔ Mundo abierto</x:t>
  </x:si>
  <x:si>
    <x:t xml:space="preserve">✘ Arenas</x:t>
  </x:si>
  <x:si>
    <x:t xml:space="preserve">✔ Escalado hasta nivel 60</x:t>
  </x:si>
  <x:si>
    <x:t xml:space="preserve">✘ Duelos</x:t>
  </x:si>
  <x:si>
    <x:t xml:space="preserve">✔ Contenido futuro del servidor</x:t>
  </x:si>
  <x:si>
    <x:t xml:space="preserve">✘ PvP pequeño</x:t>
  </x:si>
  <x:si>
    <x:t xml:space="preserve">Horizonte táctico: no se predicen parches ni cambios de balance.</x:t>
  </x:si>
  <x:si>
    <x:t xml:space="preserve">✘ DPS puro y rankings de daño</x:t>
  </x:si>
  <x:si>
    <x:t xml:space="preserve">Escala común de cinco estrellas: ★☆☆☆☆ limitada · ★★☆☆☆ situacional · ★★★☆☆ útil · ★★★★☆ destacada · ★★★★★ prioritaria. No mide DPS ni probabilidad de victoria.</x:t>
  </x:si>
  <x:si>
    <x:t xml:space="preserve">Razas y alternativas intactas. Las sugerencias se recogen únicamente en «Observaciones del editor», dentro de Metodología.</x:t>
  </x:si>
  <x:si>
    <x:t xml:space="preserve">WoW Forever Race Advisor v4.0 RC1  |  Revisión editorial: 21/10/2026  |  Excel 365 · Sin macros</x:t>
  </x:si>
  <x:si>
    <x:t xml:space="preserve">SELECTOR | Tu ficha de raza</x:t>
  </x:si>
  <x:si>
    <x:t xml:space="preserve">PvP masivo · Mundo abierto · Nivel 60 · Sin PvE, arenas ni duelos</x:t>
  </x:si>
  <x:si>
    <x:t xml:space="preserve">Facciones</x:t>
  </x:si>
  <x:si>
    <x:t xml:space="preserve">Clases disponibles</x:t>
  </x:si>
  <x:si>
    <x:t xml:space="preserve">Especializaciones</x:t>
  </x:si>
  <x:si>
    <x:t xml:space="preserve">Coincidencias</x:t>
  </x:si>
  <x:si>
    <x:t xml:space="preserve">Facción</x:t>
  </x:si>
  <x:si>
    <x:t xml:space="preserve">Alianza</x:t>
  </x:si>
  <x:si>
    <x:t xml:space="preserve">01  Facción</x:t>
  </x:si>
  <x:si>
    <x:t xml:space="preserve">Clase</x:t>
  </x:si>
  <x:si>
    <x:t xml:space="preserve">Sacerdote</x:t>
  </x:si>
  <x:si>
    <x:t xml:space="preserve">02  Clase</x:t>
  </x:si>
  <x:si>
    <x:t xml:space="preserve">Horda</x:t>
  </x:si>
  <x:si>
    <x:t xml:space="preserve">Especialización</x:t>
  </x:si>
  <x:si>
    <x:t xml:space="preserve">Sombras</x:t>
  </x:si>
  <x:si>
    <x:t xml:space="preserve">03  Especialización</x:t>
  </x:si>
  <x:si>
    <x:t xml:space="preserve">Estado de selección</x:t>
  </x:si>
  <x:si>
    <x:t xml:space="preserve">TU RECOMENDACIÓN</x:t>
  </x:si>
  <x:si>
    <x:t xml:space="preserve">PRIORIDAD</x:t>
  </x:si>
  <x:si>
    <x:t xml:space="preserve">Raza recomendada</x:t>
  </x:si>
  <x:si>
    <x:t xml:space="preserve">Alternativa</x:t>
  </x:si>
  <x:si>
    <x:t xml:space="preserve">UTILIDAD RACIAL</x:t>
  </x:si>
  <x:si>
    <x:t xml:space="preserve">Motivo principal</x:t>
  </x:si>
  <x:si>
    <x:t xml:space="preserve">Explicación</x:t>
  </x:si>
  <x:si>
    <x:t xml:space="preserve">NOTA DE LA FICHA</x:t>
  </x:si>
  <x:si>
    <x:t xml:space="preserve">Fortalezas</x:t>
  </x:si>
  <x:si>
    <x:t xml:space="preserve">Debilidades</x:t>
  </x:si>
  <x:si>
    <x:t xml:space="preserve">★☆☆☆☆ → ★★★★★
De utilidad limitada a prioritaria.
No equivale a DPS ni a victorias.</x:t>
  </x:si>
  <x:si>
    <x:t xml:space="preserve">Alcance de la ficha</x:t>
  </x:si>
  <x:si>
    <x:t xml:space="preserve">Uso: cambia los tres campos en orden. Sin macros, las selecciones previas no se borran solas; si dejan de ser válidas, la ficha se bloquea hasta que vuelvas a elegir.</x:t>
  </x:si>
  <x:si>
    <x:t xml:space="preserve">← Inicio</x:t>
  </x:si>
  <x:si>
    <x:t xml:space="preserve">Criterios y observaciones del editor →</x:t>
  </x:si>
  <x:si>
    <x:t xml:space="preserve">Ver raciales →</x:t>
  </x:si>
  <x:si>
    <x:t xml:space="preserve">WoW Forever Race Advisor v4.0 RC1  |  21/10/2026  |  Revisión editorial · Sin macros</x:t>
  </x:si>
  <x:si>
    <x:t xml:space="preserve">ALIANZA | Guía de razas</x:t>
  </x:si>
  <x:si>
    <x:t xml:space="preserve">27 combinaciones · PvP masivo · Mundo abierto · Horizonte: nivel 60</x:t>
  </x:si>
  <x:si>
    <x:t xml:space="preserve">Prioridad</x:t>
  </x:si>
  <x:si>
    <x:t xml:space="preserve">Guerrero</x:t>
  </x:si>
  <x:si>
    <x:t xml:space="preserve">Armas</x:t>
  </x:si>
  <x:si>
    <x:t xml:space="preserve">Gnomo</x:t>
  </x:si>
  <x:si>
    <x:t xml:space="preserve">Humano</x:t>
  </x:si>
  <x:si>
    <x:t xml:space="preserve">Armas necesita alcanzar al objetivo para sostener la presión del frente. Escape Artist libera de raíces y ralentizaciones, tanto para volver al contacto como para evitar quedar aislado. Frente a Humano, la elección prima esa continuidad sobre romper aturdimientos; no ofrece defensa cuando el foco ya ha llegado. Pierde ventaja si el enemigo detiene la entrada con aturdimientos.</x:t>
  </x:si>
  <x:si>
    <x:t xml:space="preserve">★★★★★</x:t>
  </x:si>
  <x:si>
    <x:t xml:space="preserve">Mantener contacto durante el avance aliado.</x:t>
  </x:si>
  <x:si>
    <x:t xml:space="preserve">Furia</x:t>
  </x:si>
  <x:si>
    <x:t xml:space="preserve">Furia pierde presencia cuando el objetivo se aleja y el frente continúa avanzando. Escape Artist recupera movimiento frente a raíces y ralentizaciones para seguir ese desplazamiento. Frente a Humano, pesa más mantener el contacto durante la pelea que salir de un aturdimiento; la racial no resuelve ese control durante una entrada. Su ventaja disminuye cuando predominan los aturdimientos.</x:t>
  </x:si>
  <x:si>
    <x:t xml:space="preserve">Encadenar contacto sin quedar rezagado.</x:t>
  </x:si>
  <x:si>
    <x:t xml:space="preserve">Protección</x:t>
  </x:si>
  <x:si>
    <x:t xml:space="preserve">Enano</x:t>
  </x:si>
  <x:si>
    <x:t xml:space="preserve">Protección necesita permanecer delante de sus aliados cuando el enemigo concentra ataques sobre una posición. Stoneform añade defensa física y protección frente a efectos concretos para sostener el frente. Frente a Humano, prima resistir esa presión sobre romper un aturdimiento; siguen siendo necesarias las curaciones y una retirada posible. Pierde ventaja cuando la presión principal es mágica.</x:t>
  </x:si>
  <x:si>
    <x:t xml:space="preserve">Sostener posiciones frente al foco físico.</x:t>
  </x:si>
  <x:si>
    <x:t xml:space="preserve">Paladín</x:t>
  </x:si>
  <x:si>
    <x:t xml:space="preserve">Sagrado</x:t>
  </x:si>
  <x:si>
    <x:t xml:space="preserve">Sagrado debe responder al foco sobre un aliado, incluso si el sanador está controlado. Will to Survive elimina el aturdimiento y devuelve acceso a curaciones y apoyo defensivo. Frente a Enano, prima recuperar esa respuesta sobre mitigar daño propio; un silencio o una interrupción aún pueden cortar el siguiente lanzamiento. Su ventaja disminuye cuando predominan esos otros controles.</x:t>
  </x:si>
  <x:si>
    <x:t xml:space="preserve">Recuperar la curación tras un aturdimiento.</x:t>
  </x:si>
  <x:si>
    <x:t xml:space="preserve">Protección combina presencia en primera línea con apoyo a quienes avanzan a su lado. Stoneform reserva una defensa física para el momento en que varios enemigos concentran el foco. Frente a Humano, pesa más sostener la posición que romper un aturdimiento; esa resistencia personal no protege automáticamente a todo el grupo. Pierde ventaja cuando el foco no es físico.</x:t>
  </x:si>
  <x:si>
    <x:t xml:space="preserve">Resistir mientras se protege el avance.</x:t>
  </x:si>
  <x:si>
    <x:t xml:space="preserve">Reprensión</x:t>
  </x:si>
  <x:si>
    <x:t xml:space="preserve">Reprensión alterna presión cercana y apoyo durante una entrada. Will to Survive elimina el aturdimiento para continuar sobre el objetivo o auxiliar a un compañero. Frente a Enano, prima recuperar esa decisión sobre reducir daño físico; volver a actuar no justifica perseguir fuera de la cobertura aliada. Su ventaja disminuye si la amenaza principal no son los aturdimientos.</x:t>
  </x:si>
  <x:si>
    <x:t xml:space="preserve">Volver a presionar o auxiliar tras el control.</x:t>
  </x:si>
  <x:si>
    <x:t xml:space="preserve">Cazador</x:t>
  </x:si>
  <x:si>
    <x:t xml:space="preserve">Bestias</x:t>
  </x:si>
  <x:si>
    <x:t xml:space="preserve">Elfo</x:t>
  </x:si>
  <x:si>
    <x:t xml:space="preserve">Bestias reparte su atención entre la posición propia y la actividad de la mascota. Stoneform añade defensa frente al foco físico y deja margen para reorganizar ambos sin abandonar inmediatamente el combate. Frente a Elfo, pesa más responder al ataque ya iniciado que preparar una posición oculta; la racial no protege directamente a la mascota. Pierde ventaja si el foco recae en ella.</x:t>
  </x:si>
  <x:si>
    <x:t xml:space="preserve">★★★★☆</x:t>
  </x:si>
  <x:si>
    <x:t xml:space="preserve">Resistir el foco físico mientras se coordina la mascota.</x:t>
  </x:si>
  <x:si>
    <x:t xml:space="preserve">Puntería</x:t>
  </x:si>
  <x:si>
    <x:t xml:space="preserve">Puntería necesita conservar una línea de disparo desde la que contribuir al foco aliado. Stoneform añade resistencia física cuando el enemigo alcanza esa posición y obliga a disparar o replegarse. Frente a Humano, prima soportar la presión sobre romper un aturdimiento; la defensa no permite ignorar la distancia ni prolongar la exposición. Pierde ventaja cuando predominan los aturdimientos.</x:t>
  </x:si>
  <x:si>
    <x:t xml:space="preserve">Sostener una línea de disparo bajo presión.</x:t>
  </x:si>
  <x:si>
    <x:t xml:space="preserve">Supervivencia</x:t>
  </x:si>
  <x:si>
    <x:t xml:space="preserve">Supervivencia disputa los accesos al grupo mediante trampas y juego cercano, además de sus opciones a distancia. Stoneform añade defensa física cuando esa proximidad atrae el foco enemigo. Frente a Humano, pesa más resistir durante la disputa del espacio que romper un aturdimiento; controlar el terreno sigue requiriendo una ruta de repliegue. Su ventaja disminuye sin presión física cercana.</x:t>
  </x:si>
  <x:si>
    <x:t xml:space="preserve">Resistir el contacto al controlar los accesos.</x:t>
  </x:si>
  <x:si>
    <x:t xml:space="preserve">Pícaro</x:t>
  </x:si>
  <x:si>
    <x:t xml:space="preserve">Asesinato</x:t>
  </x:si>
  <x:si>
    <x:t xml:space="preserve">Asesinato necesita volver al objetivo para mantener presión sin quedar atrapado en el frente enemigo. Escape Artist recupera el contacto cuando raíces o ralentizaciones interrumpen la entrada. Frente a Humano, importa más resolver esa separación que romper un aturdimiento; perseguir demasiado lejos puede dejar al pícaro sin apoyo. Pierde ventaja cuando el obstáculo principal son los aturdimientos.</x:t>
  </x:si>
  <x:si>
    <x:t xml:space="preserve">Recuperar contacto para sostener presión sobre el objetivo.</x:t>
  </x:si>
  <x:si>
    <x:t xml:space="preserve">Combate</x:t>
  </x:si>
  <x:si>
    <x:t xml:space="preserve">Combate busca presencia cercana sostenida, acompañando el avance y los cambios de objetivo aliados. Escape Artist libera el desplazamiento bloqueado por raíces y ralentizaciones para continuar esa dinámica. Frente a Humano, prima moverse con la pelea sobre romper un aturdimiento; no mitiga el daño de una entrada que recibe demasiado foco. Su ventaja disminuye cuando domina la necesidad de resistir.</x:t>
  </x:si>
  <x:si>
    <x:t xml:space="preserve">Seguir al frente sin quedar inmovilizado.</x:t>
  </x:si>
  <x:si>
    <x:t xml:space="preserve">Sutileza</x:t>
  </x:si>
  <x:si>
    <x:t xml:space="preserve">Sutileza elige cuándo y desde dónde iniciar su intervención. Shadowmeld ofrece una espera oculta e inmóvil que complementa esa preparación. Frente a Gnomo, prima organizar la entrada sobre liberarse después de controles de movimiento; no sustituye el sigilo móvil ni garantiza desaparecer bajo foco. Su ventaja disminuye cuando no hay tiempo para preparar la posición.</x:t>
  </x:si>
  <x:si>
    <x:t xml:space="preserve">Preparar la entrada antes de revelar la posición.</x:t>
  </x:si>
  <x:si>
    <x:t xml:space="preserve">Disciplina</x:t>
  </x:si>
  <x:si>
    <x:t xml:space="preserve">Disciplina necesita margen para proteger a los aliados antes de que el foco los desborde. Stoneform reduce la presión física sobre el sacerdote mientras mantiene esa labor preventiva. Frente a Gnomo, pesa más resistir en la posición de apoyo que liberarse de controles de movimiento; no evita silencios ni reemplaza la cobertura aliada. Pierde ventaja si la prioridad es desplazarse.</x:t>
  </x:si>
  <x:si>
    <x:t xml:space="preserve">Mantener la protección preventiva bajo foco físico.</x:t>
  </x:si>
  <x:si>
    <x:t xml:space="preserve">Sagrado debe recuperar la salud de los aliados mientras atiende los cambios de foco. Stoneform añade defensa física cuando los atacantes pasan a presionar al sanador. Frente a Humano, prima resistir ese daño sobre romper un aturdimiento; la protección no garantiza completar una curación si el enemigo puede interrumpirla. Su ventaja disminuye cuando el control impide seguir curando.</x:t>
  </x:si>
  <x:si>
    <x:t xml:space="preserve">Seguir curando cuando el foco cambia al sanador.</x:t>
  </x:si>
  <x:si>
    <x:t xml:space="preserve">Sombras mantiene presión mientras conserva distancia de quienes pueden cortarle los lanzamientos. Escape Artist libera de raíces y ralentizaciones para abandonar una posición bloqueada y recuperar espacio. Frente a Humano, importa más resolver ese desplazamiento que romper un aturdimiento; alejarse sin cuidar el alcance puede desconectarlo de sus aliados. Pierde ventaja cuando no existe una ruta de salida.</x:t>
  </x:si>
  <x:si>
    <x:t xml:space="preserve">Reposicionarse sin abandonar la presión sostenida.</x:t>
  </x:si>
  <x:si>
    <x:t xml:space="preserve">Mago</x:t>
  </x:si>
  <x:si>
    <x:t xml:space="preserve">Arcano</x:t>
  </x:si>
  <x:si>
    <x:t xml:space="preserve">Arcano necesita elegir dónde detenerse a lanzar sin quedar encerrado por el avance enemigo. Escape Artist libera de controles de movimiento para preparar la siguiente secuencia desde otra posición. Frente a Humano, prima recuperar espacio sobre romper un aturdimiento; no protege de interrupciones ni sustituye la gestión de recursos. Su ventaja disminuye cuando falta espacio para recolocarse.</x:t>
  </x:si>
  <x:si>
    <x:t xml:space="preserve">Recuperar espacio para preparar los lanzamientos.</x:t>
  </x:si>
  <x:si>
    <x:t xml:space="preserve">Fuego</x:t>
  </x:si>
  <x:si>
    <x:t xml:space="preserve">Fuego necesita ángulos desde los que acompañar la presión aliada sin exponerse por permanecer quieto. Escape Artist permite cambiar de posición cuando raíces o ralentizaciones bloquean la salida. Frente a Humano, pesa más seguir al frente que romper un aturdimiento; la racial no convierte una zona descubierta en un lugar seguro. Pierde ventaja si no hay cobertura al alcance.</x:t>
  </x:si>
  <x:si>
    <x:t xml:space="preserve">Recolocarse para sostener presión sobre el frente.</x:t>
  </x:si>
  <x:si>
    <x:t xml:space="preserve">Escarcha</x:t>
  </x:si>
  <x:si>
    <x:t xml:space="preserve">Escarcha frena al perseguidor, pero pierde margen si también queda inmovilizado. Escape Artist recupera movimiento para convertir el control propio en distancia efectiva. Frente a Humano, refuerza ese juego de separación antes que la salida de aturdimientos; aún exige encadenar las herramientas de clase y reconocer rutas de escape. Su ventaja disminuye cuando no hay espacio para alejarse.</x:t>
  </x:si>
  <x:si>
    <x:t xml:space="preserve">Recuperar distancia para aprovechar el control propio.</x:t>
  </x:si>
  <x:si>
    <x:t xml:space="preserve">Brujo</x:t>
  </x:si>
  <x:si>
    <x:t xml:space="preserve">Aflicción</x:t>
  </x:si>
  <x:si>
    <x:t xml:space="preserve">Aflicción necesita seguir actuando mientras su presión persistente obliga al enemigo a responder. Will to Survive elimina el aturdimiento para renovar efectos, controlar o defenderse. Frente a Gnomo, prima recuperar esas acciones sobre resolver raíces; permanecer lejos del grupo sigue dejando al brujo expuesto al siguiente foco. Pierde ventaja cuando las raíces son el principal impedimento.</x:t>
  </x:si>
  <x:si>
    <x:t xml:space="preserve">Retomar presión persistente después del aturdimiento.</x:t>
  </x:si>
  <x:si>
    <x:t xml:space="preserve">Demonología</x:t>
  </x:si>
  <x:si>
    <x:t xml:space="preserve">Demonología combina acciones propias y coordinación con su mascota. Will to Survive elimina el aturdimiento para retomar control, apoyo defensivo o reposicionamiento. Frente a Gnomo, pesa más recuperar esas decisiones que liberarse de raíces; la racial actúa sobre el brujo, no sobre el control ni la exposición de la mascota. Su ventaja disminuye si el problema recae en ella.</x:t>
  </x:si>
  <x:si>
    <x:t xml:space="preserve">Retomar la coordinación con la mascota tras un aturdimiento.</x:t>
  </x:si>
  <x:si>
    <x:t xml:space="preserve">Destrucción</x:t>
  </x:si>
  <x:si>
    <x:t xml:space="preserve">Destrucción convierte el control y la cobertura aliados en oportunidades de lanzamiento. Will to Survive elimina el aturdimiento para preparar la respuesta sin esperar a que termine. Frente a Gnomo, prima recuperar la acción sobre salir de raíces; completar el siguiente hechizo aún depende de la distancia y las interrupciones enemigas. Pierde ventaja cuando las interrupciones bloquean los lanzamientos.</x:t>
  </x:si>
  <x:si>
    <x:t xml:space="preserve">Reabrir una oportunidad de lanzamiento tras el control.</x:t>
  </x:si>
  <x:si>
    <x:t xml:space="preserve">Druida</x:t>
  </x:si>
  <x:si>
    <x:t xml:space="preserve">Equilibrio</x:t>
  </x:si>
  <x:si>
    <x:t xml:space="preserve">-</x:t>
  </x:si>
  <x:si>
    <x:t xml:space="preserve">Equilibrio necesita una posición desde la que lanzar sin quedar expuesto al avance enemigo. Shadowmeld permite esperar oculto e inmóvil mientras se organiza la entrada del grupo. La racial ayuda a preparar ese ángulo, pero no protege los lanzamientos posteriores; una vez revelado, el druida depende de su movilidad y cobertura. Pierde ventaja cuando el frente obliga a moverse continuamente.</x:t>
  </x:si>
  <x:si>
    <x:t xml:space="preserve">Preparar el ángulo antes de empezar a lanzar.</x:t>
  </x:si>
  <x:si>
    <x:t xml:space="preserve">Feral</x:t>
  </x:si>
  <x:si>
    <x:t xml:space="preserve">Feral adapta su entrada y presencia cercana a la posición del objetivo y de los aliados. Shadowmeld ofrece una espera oculta e inmóvil antes de comprometerse. Complementa la preparación del terreno, pero no sustituye el sigilo móvil de la forma felina; moverse, cambiar de función o retirarse depende de las herramientas de la especialización. Su ventaja disminuye sin preparación previa.</x:t>
  </x:si>
  <x:si>
    <x:t xml:space="preserve">Elegir el momento de entrar desde ocultación.</x:t>
  </x:si>
  <x:si>
    <x:t xml:space="preserve">Restauración</x:t>
  </x:si>
  <x:si>
    <x:t xml:space="preserve">Restauración necesita preparar desde dónde acompañará al grupo sin revelar su posición antes de tiempo. Shadowmeld permite esperar oculto e inmóvil antes de comenzar a curar. La racial ayuda a organizar la intervención, no a sanar sin ser visto; después, conservar alcance y movilidad evita quedar separado del frente. Pierde ventaja cuando el grupo no puede detenerse.</x:t>
  </x:si>
  <x:si>
    <x:t xml:space="preserve">Preparar una posición de curación sin exponerse.</x:t>
  </x:si>
  <x:si>
    <x:t xml:space="preserve">Chamán</x:t>
  </x:si>
  <x:si>
    <x:t xml:space="preserve">Elemental</x:t>
  </x:si>
  <x:si>
    <x:t xml:space="preserve">Elemental combina lanzamientos y apoyo desde una posición que no ceda al primer avance enemigo. Stoneform añade defensa física cuando el frente alcanza al chamán, dando margen para mantenerse o replegarse. Ayuda a soportar el contacto, pero no asegura los hechizos: silencios, interrupciones y daño mágico requieren respuestas distintas. Su ventaja disminuye cuando predominan esas amenazas.</x:t>
  </x:si>
  <x:si>
    <x:t xml:space="preserve">Resistir la presión física sobre la línea de lanzamiento.</x:t>
  </x:si>
  <x:si>
    <x:t xml:space="preserve">Mejora</x:t>
  </x:si>
  <x:si>
    <x:t xml:space="preserve">Mejora acompaña el contacto con presión cuerpo a cuerpo y apoyo de clase, compartiendo la exposición del frente. Stoneform reserva una defensa física para una entrada disputada y ayuda a mantener esa presencia sin retirarse de inmediato. No aumenta el alcance ni compensa perseguir fuera del apoyo aliado. Pierde ventaja cuando alcanzar al objetivo es el principal problema.</x:t>
  </x:si>
  <x:si>
    <x:t xml:space="preserve">Sostener el apoyo cercano sin ceder al foco.</x:t>
  </x:si>
  <x:si>
    <x:t xml:space="preserve">Restauración sostiene curaciones y apoyo mediante tótems sin perder alcance sobre quienes reciben foco. Stoneform añade defensa física cuando los atacantes llegan a su posición y deja margen para reorganizarse. No protege directamente a los tótems ni evita silencios, interrupciones o una línea de visión bloqueada. Su ventaja disminuye cuando esas limitaciones impiden mantener el apoyo.</x:t>
  </x:si>
  <x:si>
    <x:t xml:space="preserve">Preservar curaciones y apoyo cuando llega el contacto.</x:t>
  </x:si>
  <x:si>
    <x:t xml:space="preserve">Razas, alternativas y prioridades conservadas. RC1: revisión individual de las 27 fichas, sin cambiar el análisis. Cada explicación cierra con una situación de menor ventaja. Cinco estrellas = nivel máximo; cuatro = nivel siguiente. «-» significa alternativa no facilitada.</x:t>
  </x:si>
  <x:si>
    <x:t xml:space="preserve">← Volver al Selector</x:t>
  </x:si>
  <x:si>
    <x:t xml:space="preserve">HORDA | Guía de razas</x:t>
  </x:si>
  <x:si>
    <x:t xml:space="preserve">24 combinaciones · PvP masivo · Mundo abierto · Horizonte: nivel 60</x:t>
  </x:si>
  <x:si>
    <x:t xml:space="preserve">Orco</x:t>
  </x:si>
  <x:si>
    <x:t xml:space="preserve">Tauren</x:t>
  </x:si>
  <x:si>
    <x:t xml:space="preserve">Armas disputa el contacto cuando el enemigo intenta detener una entrada con aturdimientos. Hardiness acorta esas pausas para retomar antes la presión o el repliegue. Frente a Tauren, pesa más esa respuesta pasiva al control recibido que añadir control cercano; las raíces y la separación del objetivo aún requieren herramientas de clase. Pierde ventaja cuando predominan los controles de movimiento.</x:t>
  </x:si>
  <x:si>
    <x:t xml:space="preserve">Acortar el control que interrumpe la presión cercana.</x:t>
  </x:si>
  <x:si>
    <x:t xml:space="preserve">Furia mantiene presencia cercana mientras los objetivos y el frente se desplazan. Hardiness reduce las pausas por aturdimientos sin exigir una activación manual. Frente a Tauren, prima esa continuidad sobre abrir una pausa de control propia; recuperarse antes no permite perseguir sin apoyo ni elimina las ralentizaciones. Su ventaja disminuye cuando estas impiden sostener el contacto.</x:t>
  </x:si>
  <x:si>
    <x:t xml:space="preserve">Reducir las pausas durante el avance ofensivo.</x:t>
  </x:si>
  <x:si>
    <x:t xml:space="preserve">Protección necesita impedir que el contacto enemigo desorganice la posición aliada. War Stomp aturde a enemigos cercanos y abre una pausa para sostener el frente o cubrir la retirada. Frente a Orco, importa más actuar sobre el espacio compartido que acortar el control propio; los atacantes lejanos quedan fuera de alcance. Pierde ventaja cuando la amenaza permanece a distancia.</x:t>
  </x:si>
  <x:si>
    <x:t xml:space="preserve">Crear espacio para sostener la primera línea.</x:t>
  </x:si>
  <x:si>
    <x:t xml:space="preserve">Troll</x:t>
  </x:si>
  <x:si>
    <x:t xml:space="preserve">Bestias gestiona la presión de su mascota sin descuidar el desplazamiento del cazador. Hardiness acorta los aturdimientos que interrumpen esas decisiones bajo foco enemigo. Frente a Troll, prima recuperar antes el control de la situación sobre acelerar ataques; la reducción afecta al personaje y no resuelve la exposición de la mascota. Su ventaja disminuye si el foco recae en ella.</x:t>
  </x:si>
  <x:si>
    <x:t xml:space="preserve">Recuperar antes la coordinación con la mascota.</x:t>
  </x:si>
  <x:si>
    <x:t xml:space="preserve">Puntería aprovecha una línea de disparo estable para acompañar el foco aliado. Berserking acelera los ataques y concentra la intervención antes de que cambie la posición enemiga. Frente a Orco, pesa más aprovechar ese tiempo que acortar aturdimientos; la racial no proporciona distancia ni una salida defensiva. Pierde ventaja cuando falta cobertura para mantener los disparos.</x:t>
  </x:si>
  <x:si>
    <x:t xml:space="preserve">Concentrar disparos mientras existe cobertura aliada.</x:t>
  </x:si>
  <x:si>
    <x:t xml:space="preserve">Supervivencia responde cuando un enemigo atraviesa las trampas o alcanza la zona protegida. Hardiness acorta el aturdimiento para volver a controlar el contacto y decidir la retirada. Frente a Tauren, prima recuperar las herramientas propias sobre añadir control cercano; no elimina raíces ni reconstruye una posición perdida. Su ventaja disminuye cuando las raíces impiden reorganizar la defensa.</x:t>
  </x:si>
  <x:si>
    <x:t xml:space="preserve">Retomar el control de los accesos tras aturdimientos.</x:t>
  </x:si>
  <x:si>
    <x:t xml:space="preserve">No-muerto</x:t>
  </x:si>
  <x:si>
    <x:t xml:space="preserve">Asesinato mantiene presión sobre un objetivo sin perder la posibilidad de retirarse con el grupo. Will of the Forsaken elimina miedo, sueño o encanto cuando interrumpen esa tarea. Frente a Orco, importa más responder activamente a esos controles que acortar aturdimientos; volver a perseguir no garantiza alcance ni cobertura aliada. Pierde ventaja cuando el enemigo recurre principalmente a aturdimientos.</x:t>
  </x:si>
  <x:si>
    <x:t xml:space="preserve">Retomar la persecución tras miedo, sueño o encanto.</x:t>
  </x:si>
  <x:si>
    <x:t xml:space="preserve">Combate permanece cerca del objetivo durante intercambios donde los aturdimientos interrumpen las entradas. Hardiness reduce esa pausa de forma pasiva para retomar presión, defensa o retirada. Frente a No-muerto, prima acortar aturdimientos sobre eliminar miedo, sueño o encanto; quedar rodeado sigue siendo peligroso aunque el control dure menos. Su ventaja disminuye cuando predominan esos otros controles.</x:t>
  </x:si>
  <x:si>
    <x:t xml:space="preserve">Acortar los aturdimientos durante el contacto sostenido.</x:t>
  </x:si>
  <x:si>
    <x:t xml:space="preserve">Sutileza necesita hacer coincidir su entrada con la oportunidad creada por los aliados. Will of the Forsaken elimina miedo, sueño o encanto para recuperar esa coordinación. Frente a Orco, prima retomar la iniciativa ante esos controles sobre acortar aturdimientos; la racial no mejora el sigilo ni evita que el objetivo se aleje. Pierde ventaja si predominan los aturdimientos.</x:t>
  </x:si>
  <x:si>
    <x:t xml:space="preserve">Recuperar la iniciativa cuando el control rompe la entrada.</x:t>
  </x:si>
  <x:si>
    <x:t xml:space="preserve">Disciplina combina protección preventiva y apoyo a la presión aliada. El criterio validado de Troll incorpora Hex of Weakness como contribución sobre el enemigo. Frente a No-muerto, pesa más ese apoyo que reservar la ventaja racial para eliminar miedo, sueño o encanto; no sustituye las tareas defensivas del sacerdote. Pierde ventaja cuando esos controles impiden mantener la protección.</x:t>
  </x:si>
  <x:si>
    <x:t xml:space="preserve">Combinar protección preventiva y presión de apoyo.</x:t>
  </x:si>
  <x:si>
    <x:t xml:space="preserve">Sagrado recupera salud tras el foco sin perder de vista la siguiente oleada. El criterio de Troll combina el apoyo de Hex of Weakness con la aceleración de curaciones de Berserking. Frente a Tauren, prima intervenir desde la posición del sanador sobre buscar control cercano; esa aceleración no protege de interrupciones. Su ventaja disminuye cuando no puede completar curaciones.</x:t>
  </x:si>
  <x:si>
    <x:t xml:space="preserve">Acelerar la recuperación del grupo y apoyar su presión.</x:t>
  </x:si>
  <x:si>
    <x:t xml:space="preserve">Sombras renueva su intervención desde una posición que permita presionar y apoyar. Berserking acelera lanzamientos para aprovechar la cobertura del grupo antes de que termine. Frente a No-muerto, pesa más actuar durante esa oportunidad que eliminar miedo, sueño o encanto; la aceleración no evita quedar controlado ni sustituye la distancia. Pierde ventaja cuando falta espacio para lanzar.</x:t>
  </x:si>
  <x:si>
    <x:t xml:space="preserve">Aprovechar cobertura para renovar la presión sostenida.</x:t>
  </x:si>
  <x:si>
    <x:t xml:space="preserve">Arcano aprovecha el intervalo en que sus aliados permiten detenerse a lanzar sin presión inmediata. Berserking acelera la secuencia antes de que el enemigo recupere terreno. Frente a No-muerto, prima esa oportunidad ofensiva sobre eliminar miedo, sueño o encanto; no reduce el coste de recursos ni asegura completar hechizos. Su ventaja disminuye cuando las interrupciones impiden lanzar.</x:t>
  </x:si>
  <x:si>
    <x:t xml:space="preserve">Concentrar lanzamientos durante una oportunidad protegida.</x:t>
  </x:si>
  <x:si>
    <x:t xml:space="preserve">Fuego acompaña los momentos en que el grupo obliga al enemigo a responder. Berserking acelera lanzamientos para aprovechar el tiempo de cobertura durante esa presión coordinada. Frente a Orco, importa más esa intervención activa que acortar aturdimientos; la racial no ofrece una salida si el frente gira hacia el mago. Pierde ventaja cuando la presión obliga a retirarse.</x:t>
  </x:si>
  <x:si>
    <x:t xml:space="preserve">Coordinar la presión con el avance del grupo.</x:t>
  </x:si>
  <x:si>
    <x:t xml:space="preserve">Escarcha necesita moverse y aplicar control cuando una persecución rompe la distancia inicial. Will of the Forsaken elimina miedo, sueño o encanto para recuperar esas herramientas. Frente a Troll, prima reconstruir la separación sobre acelerar lanzamientos; el alcance y las rutas de salida aún condicionan cómo frenar a los perseguidores. Su ventaja disminuye cuando no hay espacio para alejarse.</x:t>
  </x:si>
  <x:si>
    <x:t xml:space="preserve">Reconstruir distancia después de perder el control propio.</x:t>
  </x:si>
  <x:si>
    <x:t xml:space="preserve">Aflicción renueva efectos y responde al foco mientras su presión persistente ocupa al enemigo. Will of the Forsaken elimina miedo, sueño o encanto para recuperar esas decisiones. Frente a Orco, pesa más responder activamente a esos controles que acortar aturdimientos; un cambio de posición aún puede dejar objetivos fuera de alcance. Pierde ventaja cuando predominan los aturdimientos.</x:t>
  </x:si>
  <x:si>
    <x:t xml:space="preserve">Recuperar decisiones mientras continúa la presión persistente.</x:t>
  </x:si>
  <x:si>
    <x:t xml:space="preserve">Demonología coordina sus decisiones con la intervención de la mascota cuando cambia el foco. Hardiness acorta los aturdimientos que dejan al brujo sin respuesta durante ese ajuste. Frente a No-muerto, prima reducir esas pausas sobre eliminar miedo, sueño o encanto; la racial no libera ni reposiciona a la mascota. Su ventaja disminuye si el control recae en ella.</x:t>
  </x:si>
  <x:si>
    <x:t xml:space="preserve">Reducir las pausas de coordinación durante el foco.</x:t>
  </x:si>
  <x:si>
    <x:t xml:space="preserve">Destrucción convierte el control aliado en una secuencia de lanzamientos sobre el foco elegido. Berserking acelera esa intervención mientras la posición sigue protegida. Frente a Orco, importa más aprovechar el intervalo ofensivo que acortar aturdimientos; acelerar no asegura completar el hechizo si el enemigo puede interrumpir o alcanzar al brujo. Pierde ventaja cuando se pierde la cobertura.</x:t>
  </x:si>
  <x:si>
    <x:t xml:space="preserve">Concentrar lanzamientos antes de perder la cobertura.</x:t>
  </x:si>
  <x:si>
    <x:t xml:space="preserve">Elemental alterna lanzamientos y apoyo durante la oportunidad que abre el grupo. Berserking acelera su intervención mientras el enemigo está ocupado o controlado. Frente a Orco, prima aprovechar ese momento sobre acortar aturdimientos propios; la racial no protege los tótems ni permite sostener una posición que ha perdido cobertura. Su ventaja disminuye cuando el frente obliga a replegarse.</x:t>
  </x:si>
  <x:si>
    <x:t xml:space="preserve">Sincronizar lanzamientos con el control y apoyo aliados.</x:t>
  </x:si>
  <x:si>
    <x:t xml:space="preserve">Mejora mantiene contacto cuerpo a cuerpo sin abandonar el apoyo que necesita su grupo. Hardiness acorta los aturdimientos que interrumpen esa doble tarea en el frente. Frente a Tauren, pesa más recuperar las herramientas propias que añadir control cercano; las raíces aún pueden impedir alcanzar al objetivo o seguir la retirada. Pierde ventaja cuando predominan esos bloqueos de movimiento.</x:t>
  </x:si>
  <x:si>
    <x:t xml:space="preserve">Retomar la presión cercana y el apoyo tras aturdimientos.</x:t>
  </x:si>
  <x:si>
    <x:t xml:space="preserve">Restauración conserva alcance de curación mientras mantiene apoyo mediante tótems. War Stomp controla enemigos próximos cuando invaden esa posición y abre una pausa para reorganizarse. Frente a Troll, prima despejar el contacto sobre acelerar lanzamientos; acercarse para usar la racial puede empeorar una posición que ya era segura. Su ventaja disminuye si la amenaza permanece a distancia.</x:t>
  </x:si>
  <x:si>
    <x:t xml:space="preserve">Despejar el contacto para retomar curaciones y tótems.</x:t>
  </x:si>
  <x:si>
    <x:t xml:space="preserve">Equilibrio necesita recuperar separación cuando la presión cercana impide elegir sus lanzamientos. War Stomp aturde a enemigos próximos y abre una pausa para desplazarse hacia una posición de apoyo. Resuelve ese contacto local, pero no controla todo el frente; los atacantes lejanos aún obligan a buscar cobertura y rutas seguras. Pierde ventaja cuando la presión llega desde lejos.</x:t>
  </x:si>
  <x:si>
    <x:t xml:space="preserve">Frenar perseguidores antes de volver a lanzar.</x:t>
  </x:si>
  <x:si>
    <x:t xml:space="preserve">Feral alterna la persecución del objetivo con el apoyo al espacio que ocupan sus aliados. War Stomp añade control local para coordinar una entrada o cubrir un repliegue. No reemplaza las herramientas de la especialización: exige elegir el momento según la función que necesita el grupo. Su ventaja disminuye cuando el combate queda fuera de su alcance cercano.</x:t>
  </x:si>
  <x:si>
    <x:t xml:space="preserve">Añadir una pausa táctica al contacto cercano.</x:t>
  </x:si>
  <x:si>
    <x:t xml:space="preserve">Restauración acompaña a los aliados sin quedar encerrado cuando cambia el frente. War Stomp frena enemigos cercanos y abre una pausa para desplazarse antes de retomar las curaciones. Refuerza esa salida local, no la curación en sí; detenerse a buscar control puede empeorar la posición si el grupo se aleja. Pierde ventaja cuando los aliados ya están fuera de alcance.</x:t>
  </x:si>
  <x:si>
    <x:t xml:space="preserve">Separarse de perseguidores sin abandonar el apoyo.</x:t>
  </x:si>
  <x:si>
    <x:t xml:space="preserve">Razas, alternativas y prioridades conservadas. RC1: revisión individual de las 24 fichas, sin cambiar el análisis. Cada explicación cierra con una situación de menor ventaja. Cinco estrellas = nivel máximo; cuatro = nivel siguiente. «-» significa alternativa no facilitada.</x:t>
  </x:si>
  <x:si>
    <x:t xml:space="preserve">RACIALES | Fortalezas y límites</x:t>
  </x:si>
  <x:si>
    <x:t xml:space="preserve">8 fichas de referencia · Escala única de cinco estrellas · Utilidad táctica, no ranking de daño</x:t>
  </x:si>
  <x:si>
    <x:t xml:space="preserve">Raza</x:t>
  </x:si>
  <x:si>
    <x:t xml:space="preserve">Fortaleza principal</x:t>
  </x:si>
  <x:si>
    <x:t xml:space="preserve">Debilidad</x:t>
  </x:si>
  <x:si>
    <x:t xml:space="preserve">Escala de utilidad</x:t>
  </x:si>
  <x:si>
    <x:t xml:space="preserve">Comentarios</x:t>
  </x:si>
  <x:si>
    <x:t xml:space="preserve">Uso principal</x:t>
  </x:si>
  <x:si>
    <x:t xml:space="preserve">• Recupera movimiento frente a raíces y ralentizaciones.
• Ayuda a recuperar alcance sobre el objetivo.
• Facilita regresar a la cobertura aliada.
• Permite acompañar un frente en movimiento.</x:t>
  </x:si>
  <x:si>
    <x:t xml:space="preserve">• No elimina aturdimientos, miedo ni silencios.
• No mitiga el daño recibido.
• Necesita una ruta de salida disponible.</x:t>
  </x:si>
  <x:si>
    <x:t xml:space="preserve">Escape Artist permite recuperar movimiento frente a raíces y ralentizaciones. Cada especialización aprovecha ese desplazamiento para volver al contacto, ganar distancia o replegarse.</x:t>
  </x:si>
  <x:si>
    <x:t xml:space="preserve">Recuperar movimiento y elegir una nueva posición.</x:t>
  </x:si>
  <x:si>
    <x:t xml:space="preserve">• Permite salir de un aturdimiento.
• Devuelve acceso a las defensas de clase.
• Permite retomar curaciones durante el foco.
• Ayuda a recuperar la iniciativa tras el control.</x:t>
  </x:si>
  <x:si>
    <x:t xml:space="preserve">• No elimina todas las formas de control.
• Exige reservar la activación para el momento adecuado.
• No impide recibir un nuevo foco.</x:t>
  </x:si>
  <x:si>
    <x:t xml:space="preserve">Will to Survive elimina el aturdimiento y permite volver a actuar. Su utilidad depende de la respuesta de clase que se pueda ejecutar después.</x:t>
  </x:si>
  <x:si>
    <x:t xml:space="preserve">Salir de un aturdimiento y volver a actuar.</x:t>
  </x:si>
  <x:si>
    <x:t xml:space="preserve">• Reduce el daño físico durante Stoneform.
• Protege frente a sangrados, venenos y enfermedades.
• Da margen cuando coinciden varios atacantes.
• Ayuda a sostener posiciones con apoyo aliado.</x:t>
  </x:si>
  <x:si>
    <x:t xml:space="preserve">• No añade movilidad ni alcance.
• La protección tiene una duración limitada.
• No cubre todo el daño mágico ni el control.</x:t>
  </x:si>
  <x:si>
    <x:t xml:space="preserve">Stoneform añade defensa temporal frente a presión física y efectos concretos. Esa protección no equivale a inmunidad general al daño ni al control.</x:t>
  </x:si>
  <x:si>
    <x:t xml:space="preserve">Mitigar presión física durante una ventana defensiva.</x:t>
  </x:si>
  <x:si>
    <x:t xml:space="preserve">• Permite esperar oculto mientras se permanece inmóvil.
• Facilita preparar un punto de entrada.
• Ayuda a elegir cuándo incorporarse al combate.
• Complementa el sigilo de clase sin reemplazarlo.</x:t>
  </x:si>
  <x:si>
    <x:t xml:space="preserve">• Moverse cancela la ocultación de Shadowmeld.
• No garantiza escapar de un foco activo.
• Depende de preparar la posición con antelación.</x:t>
  </x:si>
  <x:si>
    <x:t xml:space="preserve">Shadowmeld permite esperar oculto e inmóvil al elfo de la noche, denominado Elfo en la base. No sustituye el sigilo móvil de Pícaro o Feral.</x:t>
  </x:si>
  <x:si>
    <x:t xml:space="preserve">Preparar una posición oculta antes de intervenir.</x:t>
  </x:si>
  <x:si>
    <x:t xml:space="preserve">• Reduce la duración de los aturdimientos.
• Actúa sin una activación manual.
• No exige acercarse al adversario para aplicarse.
• Mantiene su utilidad al cambiar de objetivo.</x:t>
  </x:si>
  <x:si>
    <x:t xml:space="preserve">• No elimina por completo los aturdimientos.
• No resuelve raíces, miedo ni silencios.
• No sustituye la cobertura ni el reposicionamiento.</x:t>
  </x:si>
  <x:si>
    <x:t xml:space="preserve">Hardiness acorta los aturdimientos de forma pasiva para recuperar antes la acción. No concede inmunidad al control ni se valora como una mejora de daño.</x:t>
  </x:si>
  <x:si>
    <x:t xml:space="preserve">Acortar aturdimientos para recuperar antes la acción.</x:t>
  </x:si>
  <x:si>
    <x:t xml:space="preserve">• Aturde a enemigos dentro de su alcance cercano.
• Abre espacio junto a aliados presionados.
• Facilita cubrir un repliegue próximo.
• Permite coordinar una entrada con el grupo.</x:t>
  </x:si>
  <x:si>
    <x:t xml:space="preserve">• Exige situarse en la zona de contacto.
• No controla a los atacantes lejanos.
• Necesita un momento de uso bien coordinado.</x:t>
  </x:si>
  <x:si>
    <x:t xml:space="preserve">War Stomp aturde a enemigos cercanos dentro del combate masivo. Su utilidad depende de la proximidad real de las amenazas y de los aliados.</x:t>
  </x:si>
  <x:si>
    <x:t xml:space="preserve">Crear espacio mediante control sobre enemigos cercanos.</x:t>
  </x:si>
  <x:si>
    <x:t xml:space="preserve">• Acelera ataques durante Berserking.
• Acelera lanzamientos durante Berserking.
• Ayuda a aprovechar intervalos breves de cobertura.
• Permite sincronizar acciones con el foco aliado.</x:t>
  </x:si>
  <x:si>
    <x:t xml:space="preserve">• No elimina el control recibido.
• No impide silencios ni interrupciones.
• Requiere una posición segura para aprovechar la aceleración.</x:t>
  </x:si>
  <x:si>
    <x:t xml:space="preserve">Berserking acelera ataques y lanzamientos durante una oportunidad de intervención. Hex of Weakness sigue siendo un criterio específico de Sacerdote, no de otras clases Troll.</x:t>
  </x:si>
  <x:si>
    <x:t xml:space="preserve">Acelerar acciones durante una oportunidad protegida.</x:t>
  </x:si>
  <x:si>
    <x:t xml:space="preserve">• Permite salir de miedo, sueño o encanto.
• Devuelve la capacidad de actuar tras esos controles.
• Facilita retomar la presión o el apoyo interrumpidos.
• Permite iniciar el regreso a la cobertura aliada.</x:t>
  </x:si>
  <x:si>
    <x:t xml:space="preserve">• No elimina aturdimientos ni raíces.
• No garantiza inmunidad a controles posteriores.
• Exige reservar la activación para una situación relevante.</x:t>
  </x:si>
  <x:si>
    <x:t xml:space="preserve">Will of the Forsaken, abreviado WotF, elimina miedo, sueño o encanto. Responde a esos controles concretos, no a cualquier efecto que impida actuar.</x:t>
  </x:si>
  <x:si>
    <x:t xml:space="preserve">Romper miedo, sueño o encanto y retomar la intervención.</x:t>
  </x:si>
  <x:si>
    <x:t xml:space="preserve">Escala común: ★☆☆☆☆ limitada · ★★☆☆☆ situacional · ★★★☆☆ útil · ★★★★☆ destacada · ★★★★★ prioritaria. Valoración editorial; no probabilidad de victoria ni cálculo automático de la raza.</x:t>
  </x:si>
  <x:si>
    <x:t xml:space="preserve">Fortalezas y usos: síntesis de los efectos raciales [S1, S2] y su aplicación táctica al escenario. Debilidades: límites de uso, no penalizaciones ocultas. La prioridad por especialización se consulta en Alianza o Horda.</x:t>
  </x:si>
  <x:si>
    <x:t xml:space="preserve">METODOLOGÍA | Criterios y alcance</x:t>
  </x:si>
  <x:si>
    <x:t xml:space="preserve">Versión 4.0 RC1 · Revisión editorial: 21/10/2026 · Metodología, razas, alternativas y prioridades conservadas</x:t>
  </x:si>
  <x:si>
    <x:t xml:space="preserve">Criterio</x:t>
  </x:si>
  <x:si>
    <x:t xml:space="preserve">Aplicación y límites</x:t>
  </x:si>
  <x:si>
    <x:t xml:space="preserve">PvP masivo · grandes enfrentamientos</x:t>
  </x:si>
  <x:si>
    <x:t xml:space="preserve">Criterio exclusivo: batallas con muchos participantes, foco de varios enemigos y utilidad para el grupo. Se prioriza permanecer operativo, no ganar intercambios individuales.</x:t>
  </x:si>
  <x:si>
    <x:t xml:space="preserve">Mundo abierto</x:t>
  </x:si>
  <x:si>
    <x:t xml:space="preserve">Se valora avanzar, combatir, retirarse y reincorporarse con aliados en un frente cambiante. No se extrapolan resultados de arenas, duelos ni pequeños enfrentamientos.</x:t>
  </x:si>
  <x:si>
    <x:t xml:space="preserve">Control de masas</x:t>
  </x:si>
  <x:si>
    <x:t xml:space="preserve">Se distingue entre evitar, acortar y eliminar control. Recuperar decisiones y aportar control cercano al grupo pesa más que una ventaja aislada de daño.</x:t>
  </x:si>
  <x:si>
    <x:t xml:space="preserve">Movilidad</x:t>
  </x:si>
  <x:si>
    <x:t xml:space="preserve">Se prioriza poder moverse hacia el objetivo, una ruta de salida o los aliados. Ninguna racial se describe como solución universal a todas las formas de control.</x:t>
  </x:si>
  <x:si>
    <x:t xml:space="preserve">Reposicionamiento</x:t>
  </x:si>
  <x:si>
    <x:t xml:space="preserve">Se valora reconstruir distancia y cobertura cuando cambia el foco. Preparar una posición antes de entrar también aporta utilidad, pero no equivale a escapar durante el combate.</x:t>
  </x:si>
  <x:si>
    <x:t xml:space="preserve">Escalado hasta nivel 60</x:t>
  </x:si>
  <x:si>
    <x:t xml:space="preserve">La raza se interpreta junto al kit completo de cada especialización. Es una lectura táctica a largo plazo, no una simulación numérica de todas las fases o niveles.</x:t>
  </x:si>
  <x:si>
    <x:t xml:space="preserve">Evolución futura del servidor</x:t>
  </x:si>
  <x:si>
    <x:t xml:space="preserve">Se considera la permanencia potencial de la movilidad, la defensa y el control. No se predicen parches ni se garantiza que una ventaja sobreviva a cambios de balance.</x:t>
  </x:si>
  <x:si>
    <x:t xml:space="preserve">Sinergia con el kit completo</x:t>
  </x:si>
  <x:si>
    <x:t xml:space="preserve">La recomendación pertenece a una combinación de facción, clase y especialización. La utilidad racial es una síntesis general y no sustituye el análisis específico.</x:t>
  </x:si>
  <x:si>
    <x:t xml:space="preserve">No priorizado · fuera de alcance</x:t>
  </x:si>
  <x:si>
    <x:t xml:space="preserve">No se priorizan PvE, DPS puro, arenas, duelos ni rankings de daño. Se excluye el PvP pequeño. Las ventanas ofensivas se explican solo como utilidad coordinada dentro de una batalla masiva.</x:t>
  </x:si>
  <x:si>
    <x:t xml:space="preserve">Prioridad por especialización</x:t>
  </x:si>
  <x:si>
    <x:t xml:space="preserve">Cinco posiciones fijas: ★☆☆☆☆ limitada · ★★☆☆☆ situacional · ★★★☆☆ útil · ★★★★☆ destacada · ★★★★★ prioritaria. La máxima categoría original pasa a cinco estrellas; la inmediatamente inferior, a cuatro. No se reevalúan razas.</x:t>
  </x:si>
  <x:si>
    <x:t xml:space="preserve">Utilidad racial · misma escala</x:t>
  </x:si>
  <x:si>
    <x:t xml:space="preserve">Se usa la misma escala de cinco estrellas. Conversión visual de notas anteriores: 1–2 → una; 3–4 → dos; 5–6 → tres; 7–8 → cuatro; 9–10 → cinco. Es juicio editorial, no estadística ni probabilidad de victoria.</x:t>
  </x:si>
  <x:si>
    <x:t xml:space="preserve">Datos originales preservados</x:t>
  </x:si>
  <x:si>
    <x:t xml:space="preserve">Se conservan exactamente las 27 combinaciones de Alianza y las 24 de Horda, con sus razas y alternativas. «-» significa alternativa no facilitada. Cada fila tiene ahora un motivo breve y una explicación autónoma, sin «Igual».</x:t>
  </x:si>
  <x:si>
    <x:t xml:space="preserve">Cobertura de la base</x:t>
  </x:si>
  <x:si>
    <x:t xml:space="preserve">Solo se incluyen las clases y especializaciones facilitadas. No se amplía la base en esta revisión; una combinación ausente no se declara inexistente. Las listas dependen de las tablas, no de una nueva automatización.</x:t>
  </x:si>
  <x:si>
    <x:t xml:space="preserve">Observaciones del editor</x:t>
  </x:si>
  <x:si>
    <x:t xml:space="preserve">Las posibles discrepancias y sugerencias aparecen exclusivamente en la sección del mismo nombre al final de esta hoja. Cada registro separa clase, especialización, recomendación actual, posible alternativa y motivo. Ninguna observación altera la ficha.</x:t>
  </x:si>
  <x:si>
    <x:t xml:space="preserve">Fortalezas, debilidades y uso</x:t>
  </x:si>
  <x:si>
    <x:t xml:space="preserve">Cada raza tiene cuatro fortalezas, tres límites tácticos y un uso principal. Se explican efectos de referencia [S1, S2] sin atribuir penalizaciones ocultas. La explicación por especialización aporta el contexto de aplicación.</x:t>
  </x:si>
  <x:si>
    <x:t xml:space="preserve">Mantenimiento</x:t>
  </x:si>
  <x:si>
    <x:t xml:space="preserve">Para futuras revisiones, conserva claves de clase y especialización y completa motivos, explicaciones y perfiles. Cualquier cambio del análisis validado requiere revisión explícita; las estrellas no recalculan recomendaciones. No hay actualización web automática.</x:t>
  </x:si>
  <x:si>
    <x:t xml:space="preserve">Funcionamiento técnico</x:t>
  </x:si>
  <x:si>
    <x:t xml:space="preserve">Se conservan las búsquedas, las listas dependientes, la navegación y los auxiliares de Selector!J:M. Sin macros. Tras cambiar facción o clase, revisa los campos siguientes: Excel no borra automáticamente una selección anterior.</x:t>
  </x:si>
  <x:si>
    <x:t xml:space="preserve">REFERENCIAS Y PROCEDENCIA · SIN CAMBIOS AUTOMÁTICOS</x:t>
  </x:si>
  <x:si>
    <x:t xml:space="preserve">Fuente de recomendaciones</x:t>
  </x:si>
  <x:si>
    <x:t xml:space="preserve">Recomendaciones: análisis original validado por la usuaria. Revisión 2.1: claridad, contexto táctico y escala visual; no se sustituyen preferencias por rankings externos.</x:t>
  </x:si>
  <x:si>
    <x:t xml:space="preserve">[S1] Blizzard · consultada 20/10/2026</x:t>
  </x:si>
  <x:si>
    <x:t xml:space="preserve">Create the Hero You Want to Be in World of Warcraft: Forever</x:t>
  </x:si>
  <x:si>
    <x:t xml:space="preserve">[S2] Referencia secundaria heredada</x:t>
  </x:si>
  <x:si>
    <x:t xml:space="preserve">WoW Forever Racial Guide · referencia de mecánicas, no ranking PvP</x:t>
  </x:si>
  <x:si>
    <x:t xml:space="preserve">La documentación de referencia puede cambiar. Esta revisión no modifica ninguna raza ni alternativa. Las observaciones editoriales se separan del análisis validado; su presencia no constituye una recomendación nueva.</x:t>
  </x:si>
  <x:si>
    <x:t xml:space="preserve">CONTROL DE CALIDAD DE LA BASE</x:t>
  </x:si>
  <x:si>
    <x:t xml:space="preserve">Combinaciones incluidas</x:t>
  </x:si>
  <x:si>
    <x:t xml:space="preserve">Claves duplicadas</x:t>
  </x:si>
  <x:si>
    <x:t xml:space="preserve">Razas recomendadas sin ficha</x:t>
  </x:si>
  <x:si>
    <x:t xml:space="preserve">Campos vacíos en tablas</x:t>
  </x:si>
  <x:si>
    <x:t xml:space="preserve">Estado de integridad</x:t>
  </x:si>
  <x:si>
    <x:t xml:space="preserve">Validación editorial 4.0 RC1</x:t>
  </x:si>
  <x:si>
    <x:t xml:space="preserve">Diez nombres erróneos eliminados. 22 fórmulas intactas; 51/51 fichas y 5/5 guardas correctas. Sin errores en celdas. Tauren Sacerdote y Hex of Weakness: no confirmados; se mantiene RC1.</x:t>
  </x:si>
  <x:si>
    <x:t xml:space="preserve">Notas para revisión futura. No modifican la recomendación ni la alternativa que muestra el Selector.</x:t>
  </x:si>
  <x:si>
    <x:t xml:space="preserve">Sacerdote · Horda</x:t>
  </x:si>
  <x:si>
    <x:t xml:space="preserve">Recomendación actual</x:t>
  </x:si>
  <x:si>
    <x:t xml:space="preserve">Troll · Alternativa existente: Tauren</x:t>
  </x:si>
  <x:si>
    <x:t xml:space="preserve">Posible alternativa</x:t>
  </x:si>
  <x:si>
    <x:t xml:space="preserve">No-muerto, únicamente como opción a estudiar en otra revisión.</x:t>
  </x:si>
  <x:si>
    <x:t xml:space="preserve">Justificación</x:t>
  </x:si>
  <x:si>
    <x:t xml:space="preserve">Estado documental al 21/10/2026: no confirmado. Las consultas de esta revisión no han devuelto contenido verificable suficiente para establecer la disponibilidad de Tauren Sacerdote en Forever. Se mantienen Troll como recomendación y Tauren como alternativa de Sagrado, sin presentar esa alternativa como disponibilidad confirmada. Para cerrar el caso hace falta documentación oficial accesible o una comprobación en la versión concreta del servidor.</x:t>
  </x:si>
  <x:si>
    <x:t xml:space="preserve">Disciplina y Sagrado</x:t>
  </x:si>
  <x:si>
    <x:t xml:space="preserve">Troll · Se mantiene el criterio de Hex of Weakness.</x:t>
  </x:si>
  <x:si>
    <x:t xml:space="preserve">No-muerto, solo si una revisión posterior valida un cambio.</x:t>
  </x:si>
  <x:si>
    <x:t xml:space="preserve">Estado documental al 21/10/2026: no confirmado. Las consultas no han devuelto contenido verificable suficiente para confirmar la disponibilidad, atribución y efectos de Hex of Weakness en la versión concreta de Forever. Se mantiene Troll y el criterio original de Disciplina y Sagrado, sin convertirlo en un hecho comprobado externamente. El cierre requiere documentación oficial específica o una prueba reproducible en el cliente correspondiente.</x:t>
  </x:si>
  <x:si>
    <x:t xml:space="preserve">Revisión 4.0 RC1 · Observaciones informativas, separadas del análisis validado.</x:t>
  </x:si>
  <x:si>
    <x:t xml:space="preserve">Seguimiento editorial</x:t>
  </x:si>
  <x:si>
    <x:t xml:space="preserve">Pendientes de revisión · No aplicados al análisis</x:t>
  </x:si>
  <x:si>
    <x:t xml:space="preserve">Posibles revisiones futuras</x:t>
  </x:si>
  <x:si>
    <x:t xml:space="preserve">Sacerdote · Horda. Tauren Sacerdote y Hex of Weakness: documentación insuficiente para confirmarlos en la versión concreta de Forever. Se conservan Troll, las alternativas y el análisis original. Ambos casos quedan registrados como no confirmados, sin sustituciones ni nuevas conclusiones sobre disponibilidad. Los diez nombres erróneos de Excel ya están eliminados; las reservas de contenido impiden todavía declarar un cierre sin incidencias.</x:t>
  </x:si>
  <x:si>
    <x:t xml:space="preserve">Confirmación al nivel 60</x:t>
  </x:si>
  <x:si>
    <x:t xml:space="preserve">Clase: Guerrero. Especialización: Protección. Actual: Enano en Alianza y Tauren en Horda. Posible alternativa: Humano y Orco, ya presentes. Justificación: al llegar al contenido de nivel 60, contrastar Stoneform y War Stomp con el kit completo, la presión y el control de grandes enfrentamientos. Registrar resultados antes de revisar el criterio; no extrapolar duelos ni daño PvE.</x:t>
  </x:si>
  <x:si>
    <x:t xml:space="preserve">Posibles cambios de parches</x:t>
  </x:si>
  <x:si>
    <x:t xml:space="preserve">Clase: Mago. Especialización: Escarcha. Actual: Gnomo en Alianza y No-muerto en Horda. Posible alternativa: Humano y Troll, ya presentes. Justificación: revisar Escape Artist, WotF y su interacción con el control si las notas del servidor documentan cambios. Contrastar sus efectos en la versión correspondiente antes de reabrir la comparación; no presumir ajustes futuros.</x:t>
  </x:si>
  <x:si>
    <x:t xml:space="preserve">Alcance editorial acordado: se conservan todas las fórmulas. Fortalezas y debilidades siguen siendo perfiles raciales compartidos; la diferenciación por especialización está en el motivo y la explicación. Ningún pendiente de esta sección se aplica automáticamente.</x:t>
  </x:si>
</x:sst>
</file>

<file path=xl/styles.xml><?xml version="1.0" encoding="utf-8"?>
<x:styleSheet xmlns:x="http://schemas.openxmlformats.org/spreadsheetml/2006/main">
  <x:fonts count="46">
    <x:font>
      <x:sz val="11"/>
      <x:color theme="1"/>
      <x:name val="Calibri"/>
      <x:family val="2"/>
      <x:scheme val="minor"/>
    </x:font>
    <x:font>
      <x:b/>
      <x:sz val="11"/>
      <x:color theme="1"/>
      <x:name val="Calibri"/>
      <x:family val="2"/>
      <x:scheme val="minor"/>
    </x:font>
    <x:font>
      <x:sz val="11"/>
      <x:color rgb="FF142D4E"/>
      <x:name val="Aptos"/>
    </x:font>
    <x:font>
      <x:u val="single"/>
      <x:sz val="11"/>
      <x:color theme="10"/>
      <x:name val="Calibri"/>
      <x:family val="2"/>
      <x:scheme val="minor"/>
    </x:font>
    <x:font>
      <x:b/>
      <x:sz val="11"/>
      <x:color rgb="FFFFFFFF"/>
      <x:name val="Calibri"/>
      <x:family val="2"/>
      <x:scheme val="minor"/>
    </x:font>
    <x:font>
      <x:b/>
      <x:sz val="22"/>
      <x:color rgb="FFFFFFFF"/>
      <x:name val="Calibri"/>
      <x:family val="2"/>
      <x:scheme val="minor"/>
    </x:font>
    <x:font>
      <x:b/>
      <x:sz val="11"/>
      <x:color rgb="FF142D4E"/>
      <x:name val="Aptos"/>
    </x:font>
    <x:font>
      <x:sz val="11"/>
      <x:color rgb="FFFFFFFF"/>
      <x:name val="Aptos"/>
    </x:font>
    <x:font>
      <x:sz val="11"/>
      <x:color rgb="FF62718A"/>
      <x:name val="Calibri"/>
      <x:family val="2"/>
      <x:scheme val="minor"/>
    </x:font>
    <x:font>
      <x:b/>
      <x:sz val="28"/>
      <x:color rgb="FFFFFFFF"/>
      <x:name val="Calibri"/>
      <x:family val="2"/>
      <x:scheme val="minor"/>
    </x:font>
    <x:font>
      <x:sz val="18"/>
      <x:color rgb="FFC6A45C"/>
      <x:name val="Aptos"/>
    </x:font>
    <x:font>
      <x:sz val="16"/>
      <x:color theme="1"/>
      <x:name val="Calibri"/>
      <x:family val="2"/>
      <x:scheme val="minor"/>
    </x:font>
    <x:font>
      <x:b/>
      <x:u val="single"/>
      <x:sz val="17"/>
      <x:color rgb="FF142D4E"/>
      <x:name val="Calibri"/>
      <x:family val="2"/>
      <x:scheme val="minor"/>
    </x:font>
    <x:font>
      <x:b/>
      <x:sz val="17"/>
      <x:color rgb="FF142D4E"/>
      <x:name val="Calibri"/>
      <x:family val="2"/>
      <x:scheme val="minor"/>
    </x:font>
    <x:font>
      <x:b/>
      <x:sz val="24"/>
      <x:color rgb="FFFFFFFF"/>
      <x:name val="Calibri"/>
      <x:family val="2"/>
      <x:scheme val="minor"/>
    </x:font>
    <x:font>
      <x:b/>
      <x:sz val="16"/>
      <x:color rgb="FF245C91"/>
      <x:name val="Aptos"/>
    </x:font>
    <x:font>
      <x:sz val="11"/>
      <x:color rgb="FF62718A"/>
      <x:name val="Aptos"/>
    </x:font>
    <x:font>
      <x:b/>
      <x:sz val="11"/>
      <x:color rgb="FF23704D"/>
      <x:name val="Aptos"/>
    </x:font>
    <x:font>
      <x:b/>
      <x:sz val="11"/>
      <x:color rgb="FF62718A"/>
      <x:name val="Aptos"/>
    </x:font>
    <x:font>
      <x:sz val="10"/>
      <x:color rgb="FF62718A"/>
      <x:name val="Aptos"/>
    </x:font>
    <x:font>
      <x:b/>
      <x:sz val="10"/>
      <x:color rgb="FF142D4E"/>
      <x:name val="Aptos"/>
    </x:font>
    <x:font>
      <x:b/>
      <x:sz val="30"/>
      <x:color rgb="FF142D4E"/>
      <x:name val="Aptos"/>
    </x:font>
    <x:font>
      <x:sz val="19"/>
      <x:color rgb="FF142D4E"/>
      <x:name val="Aptos"/>
    </x:font>
    <x:font>
      <x:sz val="11"/>
      <x:color rgb="FF805D1A"/>
      <x:name val="Calibri"/>
      <x:family val="2"/>
      <x:scheme val="minor"/>
    </x:font>
    <x:font>
      <x:b/>
      <x:sz val="30"/>
      <x:color rgb="FF245C91"/>
      <x:name val="Aptos"/>
    </x:font>
    <x:font>
      <x:sz val="10"/>
      <x:color rgb="FF62718A"/>
      <x:name val="Calibri"/>
      <x:family val="2"/>
      <x:scheme val="minor"/>
    </x:font>
    <x:font>
      <x:b/>
      <x:u val="single"/>
      <x:sz val="11"/>
      <x:color rgb="FF245C91"/>
      <x:name val="Calibri"/>
      <x:family val="2"/>
      <x:scheme val="minor"/>
    </x:font>
    <x:font>
      <x:b/>
      <x:sz val="11"/>
      <x:color rgb="FF245C91"/>
      <x:name val="Calibri"/>
      <x:family val="2"/>
      <x:scheme val="minor"/>
    </x:font>
    <x:font>
      <x:sz val="9"/>
      <x:color rgb="FF62718A"/>
      <x:name val="Calibri"/>
      <x:family val="2"/>
      <x:scheme val="minor"/>
    </x:font>
    <x:font>
      <x:sz val="8"/>
      <x:color rgb="FF62718A"/>
      <x:name val="Calibri"/>
      <x:family val="2"/>
      <x:scheme val="minor"/>
    </x:font>
    <x:font>
      <x:b/>
      <x:sz val="11"/>
      <x:color rgb="FFFFFFFF"/>
      <x:name val="Aptos"/>
      <x:family val="2"/>
    </x:font>
    <x:font>
      <x:sz val="11"/>
      <x:color rgb="FF142D4E"/>
      <x:name val="Aptos"/>
      <x:family val="2"/>
    </x:font>
    <x:font>
      <x:b/>
      <x:sz val="16"/>
      <x:color rgb="FF987526"/>
      <x:name val="Aptos"/>
      <x:family val="2"/>
    </x:font>
    <x:font>
      <x:b/>
      <x:sz val="11"/>
      <x:color rgb="FF142D4E"/>
      <x:name val="Aptos"/>
      <x:family val="2"/>
    </x:font>
    <x:font>
      <x:b/>
      <x:sz val="13"/>
      <x:color rgb="FF245C91"/>
      <x:name val="Aptos"/>
      <x:family val="2"/>
    </x:font>
    <x:font>
      <x:sz val="12"/>
      <x:color rgb="FF142D4E"/>
      <x:name val="Aptos"/>
      <x:family val="2"/>
    </x:font>
    <x:font>
      <x:b/>
      <x:sz val="22"/>
      <x:color rgb="FF987526"/>
      <x:name val="Aptos"/>
      <x:family val="2"/>
    </x:font>
    <x:font>
      <x:sz val="10"/>
      <x:color rgb="FF142D4E"/>
      <x:name val="Aptos"/>
      <x:family val="2"/>
    </x:font>
    <x:font>
      <x:sz val="11"/>
      <x:color rgb="FF62718A"/>
      <x:name val="Aptos"/>
      <x:family val="2"/>
    </x:font>
    <x:font>
      <x:sz val="10"/>
      <x:color rgb="FF62718A"/>
      <x:name val="Aptos"/>
      <x:family val="2"/>
    </x:font>
    <x:font>
      <x:b/>
      <x:sz val="12"/>
      <x:color rgb="FFFFFFFF"/>
      <x:name val="Calibri"/>
      <x:family val="2"/>
      <x:scheme val="minor"/>
    </x:font>
    <x:font>
      <x:sz val="12"/>
      <x:color rgb="FF142D4E"/>
      <x:name val="Calibri"/>
      <x:family val="2"/>
      <x:scheme val="minor"/>
    </x:font>
    <x:font>
      <x:sz val="12"/>
      <x:color rgb="FF62718A"/>
      <x:name val="Calibri"/>
      <x:family val="2"/>
      <x:scheme val="minor"/>
    </x:font>
    <x:font>
      <x:b/>
      <x:sz val="18"/>
      <x:color rgb="FFFFFFFF"/>
      <x:name val="Calibri"/>
      <x:family val="2"/>
      <x:scheme val="minor"/>
    </x:font>
    <x:font>
      <x:sz val="11"/>
      <x:color rgb="FF23704D"/>
      <x:name val="Aptos"/>
      <x:family val="2"/>
    </x:font>
    <x:font>
      <x:b/>
      <x:sz val="9"/>
      <x:color indexed="81"/>
      <x:name val="Tahoma"/>
    </x:font>
  </x:fonts>
  <x:fills count="9">
    <x:fill>
      <x:patternFill patternType="none"/>
    </x:fill>
    <x:fill>
      <x:patternFill patternType="gray125"/>
    </x:fill>
    <x:fill>
      <x:patternFill patternType="solid">
        <x:fgColor rgb="FF142D4E"/>
      </x:patternFill>
    </x:fill>
    <x:fill>
      <x:patternFill patternType="solid">
        <x:fgColor rgb="FFF1F4F8"/>
      </x:patternFill>
    </x:fill>
    <x:fill>
      <x:patternFill patternType="solid">
        <x:fgColor rgb="FF245C91"/>
      </x:patternFill>
    </x:fill>
    <x:fill>
      <x:patternFill patternType="solid">
        <x:fgColor rgb="FFC6A45C"/>
      </x:patternFill>
    </x:fill>
    <x:fill>
      <x:patternFill patternType="solid">
        <x:fgColor rgb="FFE8F1FB"/>
      </x:patternFill>
    </x:fill>
    <x:fill>
      <x:patternFill patternType="solid">
        <x:fgColor rgb="FFFFF5DC"/>
      </x:patternFill>
    </x:fill>
    <x:fill>
      <x:patternFill patternType="solid">
        <x:fgColor rgb="FFEAF5EF"/>
      </x:patternFill>
    </x:fill>
  </x:fills>
  <x:borders count="3">
    <x:border>
      <x:left/>
      <x:right/>
      <x:top/>
      <x:bottom/>
      <x:diagonal/>
    </x:border>
    <x:border>
      <x:left style="thin">
        <x:color theme="4" tint="0.39998"/>
      </x:left>
      <x:right/>
      <x:top style="thin">
        <x:color theme="4" tint="0.39998"/>
      </x:top>
      <x:bottom style="thin">
        <x:color theme="4" tint="0.39998"/>
      </x:bottom>
      <x:diagonal/>
    </x:border>
    <x:border>
      <x:left/>
      <x:right style="thin">
        <x:color theme="4" tint="0.39998"/>
      </x:right>
      <x:top style="thin">
        <x:color theme="4" tint="0.39998"/>
      </x:top>
      <x:bottom style="thin">
        <x:color theme="4" tint="0.39998"/>
      </x:bottom>
      <x:diagonal/>
    </x:border>
  </x:borders>
  <x:cellStyleXfs count="2">
    <x:xf numFmtId="0" fontId="0" fillId="0" borderId="0"/>
    <x:xf numFmtId="0" fontId="3" fillId="0" borderId="0" applyNumberFormat="0" applyFill="0" applyBorder="0" applyAlignment="0" applyProtection="0"/>
  </x:cellStyleXfs>
  <x:cellXfs count="72">
    <x:xf numFmtId="0" fontId="0" fillId="0" borderId="0" xfId="0"/>
    <x:xf numFmtId="0" fontId="2" fillId="0" borderId="0" xfId="0" applyFont="1"/>
    <x:xf numFmtId="0" fontId="7" fillId="4" borderId="0" xfId="0" applyFont="1" applyFill="1"/>
    <x:xf numFmtId="0" fontId="2" fillId="0" borderId="0" xfId="0" applyFont="1" applyAlignment="1">
      <x:alignment vertical="center"/>
    </x:xf>
    <x:xf numFmtId="0" fontId="2" fillId="0" borderId="0" xfId="0" applyFont="1" applyAlignment="1">
      <x:alignment vertical="center" wrapText="1"/>
    </x:xf>
    <x:xf numFmtId="0" fontId="6" fillId="0" borderId="0" xfId="0" applyFont="1" applyAlignment="1">
      <x:alignment vertical="center"/>
    </x:xf>
    <x:xf numFmtId="0" fontId="3" fillId="0" borderId="0" xfId="1"/>
    <x:xf numFmtId="0" fontId="10" fillId="0" borderId="0" xfId="0" applyFont="1"/>
    <x:xf numFmtId="0" fontId="2" fillId="0" borderId="0" xfId="0" applyFont="1" applyAlignment="1">
      <x:alignment wrapText="1"/>
    </x:xf>
    <x:xf numFmtId="0" fontId="15" fillId="6" borderId="0" xfId="0" applyFont="1" applyFill="1" applyAlignment="1">
      <x:alignment vertical="center"/>
    </x:xf>
    <x:xf numFmtId="0" fontId="16" fillId="0" borderId="0" xfId="0" applyFont="1" applyAlignment="1">
      <x:alignment vertical="center"/>
    </x:xf>
    <x:xf numFmtId="0" fontId="17" fillId="0" borderId="0" xfId="0" applyFont="1" applyAlignment="1">
      <x:alignment vertical="center"/>
    </x:xf>
    <x:xf numFmtId="0" fontId="18" fillId="0" borderId="0" xfId="0" applyFont="1" applyAlignment="1">
      <x:alignment vertical="center"/>
    </x:xf>
    <x:xf numFmtId="0" fontId="21" fillId="7" borderId="0" xfId="0" applyFont="1" applyFill="1" applyAlignment="1">
      <x:alignment vertical="center"/>
    </x:xf>
    <x:xf numFmtId="0" fontId="22" fillId="0" borderId="0" xfId="0" applyFont="1" applyAlignment="1">
      <x:alignment vertical="center"/>
    </x:xf>
    <x:xf numFmtId="0" fontId="19" fillId="0" borderId="0" xfId="0" applyFont="1" applyAlignment="1">
      <x:alignment vertical="center"/>
    </x:xf>
    <x:xf numFmtId="0" fontId="20" fillId="0" borderId="0" xfId="0" applyFont="1" applyAlignment="1">
      <x:alignment vertical="center"/>
    </x:xf>
    <x:xf numFmtId="0" fontId="6" fillId="0" borderId="0" xfId="0" applyFont="1" applyAlignment="1">
      <x:alignment vertical="center" wrapText="1"/>
    </x:xf>
    <x:xf numFmtId="0" fontId="6" fillId="0" borderId="0" xfId="0" applyFont="1" applyAlignment="1">
      <x:alignment wrapText="1"/>
    </x:xf>
    <x:xf numFmtId="0" fontId="2" fillId="0" borderId="0" xfId="0" applyFont="1" applyAlignment="1">
      <x:alignment horizontal="left"/>
    </x:xf>
    <x:xf numFmtId="0" fontId="6" fillId="0" borderId="0" xfId="0" applyFont="1" applyAlignment="1">
      <x:alignment horizontal="left"/>
    </x:xf>
    <x:xf numFmtId="0" fontId="32" fillId="0" borderId="0" xfId="0" applyFont="1" applyAlignment="1">
      <x:alignment horizontal="center" vertical="center"/>
    </x:xf>
    <x:xf numFmtId="0" fontId="32" fillId="7" borderId="0" xfId="0" applyFont="1" applyFill="1" applyAlignment="1">
      <x:alignment horizontal="center" vertical="center"/>
    </x:xf>
    <x:xf numFmtId="0" fontId="7" fillId="4" borderId="0" xfId="0" applyFont="1" applyFill="1" applyAlignment="1">
      <x:alignment vertical="center" wrapText="1"/>
    </x:xf>
    <x:xf numFmtId="0" fontId="33" fillId="0" borderId="0" xfId="0" applyFont="1" applyAlignment="1">
      <x:alignment vertical="center"/>
    </x:xf>
    <x:xf numFmtId="0" fontId="34" fillId="6" borderId="0" xfId="0" applyFont="1" applyFill="1" applyAlignment="1">
      <x:alignment vertical="center" wrapText="1"/>
    </x:xf>
    <x:xf numFmtId="0" fontId="35" fillId="3" borderId="0" xfId="0" applyFont="1" applyFill="1" applyAlignment="1">
      <x:alignment vertical="center" wrapText="1"/>
    </x:xf>
    <x:xf numFmtId="0" fontId="36" fillId="7" borderId="0" xfId="0" applyFont="1" applyFill="1" applyAlignment="1">
      <x:alignment horizontal="center" vertical="center"/>
    </x:xf>
    <x:xf numFmtId="0" fontId="36" fillId="0" borderId="0" xfId="0" applyFont="1" applyAlignment="1">
      <x:alignment horizontal="center" vertical="center"/>
    </x:xf>
    <x:xf numFmtId="0" fontId="37" fillId="0" borderId="0" xfId="0" applyFont="1" applyAlignment="1">
      <x:alignment vertical="center" wrapText="1"/>
    </x:xf>
    <x:xf numFmtId="0" fontId="38" fillId="0" borderId="0" xfId="0" applyFont="1" applyAlignment="1">
      <x:alignment vertical="center" wrapText="1"/>
    </x:xf>
    <x:xf numFmtId="0" fontId="39" fillId="0" borderId="0" xfId="0" applyFont="1" applyAlignment="1">
      <x:alignment vertical="center" wrapText="1"/>
    </x:xf>
    <x:xf numFmtId="0" fontId="24" fillId="0" borderId="0" xfId="0" applyFont="1" applyAlignment="1">
      <x:alignment vertical="center"/>
    </x:xf>
    <x:xf numFmtId="0" fontId="33" fillId="6" borderId="0" xfId="0" applyFont="1" applyFill="1" applyAlignment="1">
      <x:alignment vertical="center" wrapText="1"/>
    </x:xf>
    <x:xf numFmtId="0" fontId="31" fillId="3" borderId="0" xfId="0" applyFont="1" applyFill="1" applyAlignment="1">
      <x:alignment vertical="center" wrapText="1"/>
    </x:xf>
    <x:xf numFmtId="0" fontId="8" fillId="0" borderId="0" xfId="0" applyFont="1" applyAlignment="1">
      <x:alignment vertical="center" wrapText="1"/>
    </x:xf>
    <x:xf numFmtId="0" fontId="23" fillId="0" borderId="0" xfId="0" applyFont="1" applyAlignment="1">
      <x:alignment vertical="center" wrapText="1"/>
    </x:xf>
    <x:xf numFmtId="0" fontId="28" fillId="0" borderId="0" xfId="0" applyFont="1" applyAlignment="1">
      <x:alignment vertical="center"/>
    </x:xf>
    <x:xf numFmtId="0" fontId="7" fillId="4" borderId="0" xfId="0" applyFont="1" applyFill="1" applyAlignment="1">
      <x:alignment vertical="center"/>
    </x:xf>
    <x:xf numFmtId="0" fontId="33" fillId="0" borderId="0" xfId="0" applyFont="1" applyAlignment="1">
      <x:alignment wrapText="1"/>
    </x:xf>
    <x:xf numFmtId="0" fontId="44" fillId="8" borderId="0" xfId="0" applyFont="1" applyFill="1" applyAlignment="1">
      <x:alignment wrapText="1"/>
    </x:xf>
    <x:xf numFmtId="0" fontId="30" fillId="4" borderId="1" xfId="0" applyFont="1" applyFill="1" applyBorder="1"/>
    <x:xf numFmtId="0" fontId="30" fillId="4" borderId="2" xfId="0" applyFont="1" applyFill="1" applyBorder="1"/>
    <x:xf numFmtId="0" fontId="33" fillId="0" borderId="1" xfId="0" applyFont="1" applyBorder="1" applyAlignment="1">
      <x:alignment vertical="center" wrapText="1"/>
    </x:xf>
    <x:xf numFmtId="0" fontId="31" fillId="0" borderId="2" xfId="0" applyFont="1" applyBorder="1" applyAlignment="1">
      <x:alignment vertical="center" wrapText="1"/>
    </x:xf>
    <x:xf numFmtId="0" fontId="31" fillId="7" borderId="0" xfId="0" applyFont="1" applyFill="1" applyAlignment="1">
      <x:alignment wrapText="1"/>
    </x:xf>
    <x:xf numFmtId="0" fontId="25" fillId="0" borderId="0" xfId="0" applyFont="1"/>
    <x:xf numFmtId="0" fontId="28" fillId="0" borderId="0" xfId="0" applyFont="1"/>
    <x:xf numFmtId="0" fontId="42" fillId="3" borderId="0" xfId="0" applyFont="1" applyFill="1" applyAlignment="1">
      <x:alignment vertical="center"/>
    </x:xf>
    <x:xf numFmtId="0" fontId="25" fillId="0" borderId="0" xfId="0" applyFont="1" applyAlignment="1">
      <x:alignment vertical="center" wrapText="1"/>
    </x:xf>
    <x:xf numFmtId="0" fontId="26" fillId="6" borderId="0" xfId="1" applyFont="1" applyFill="1" applyAlignment="1">
      <x:alignment horizontal="center" vertical="center"/>
    </x:xf>
    <x:xf numFmtId="0" fontId="27" fillId="6" borderId="0" xfId="0" applyFont="1" applyFill="1" applyAlignment="1">
      <x:alignment horizontal="center" vertical="center"/>
    </x:xf>
    <x:xf numFmtId="0" fontId="40" fillId="4" borderId="0" xfId="0" applyFont="1" applyFill="1" applyAlignment="1">
      <x:alignment vertical="center"/>
    </x:xf>
    <x:xf numFmtId="0" fontId="41" fillId="6" borderId="0" xfId="0" applyFont="1" applyFill="1" applyAlignment="1">
      <x:alignment vertical="center"/>
    </x:xf>
    <x:xf numFmtId="0" fontId="25" fillId="0" borderId="0" xfId="0" applyFont="1" applyAlignment="1">
      <x:alignment vertical="center"/>
    </x:xf>
    <x:xf numFmtId="0" fontId="9" fillId="2" borderId="0" xfId="0" applyFont="1" applyFill="1"/>
    <x:xf numFmtId="0" fontId="11" fillId="0" borderId="0" xfId="0" applyFont="1" applyAlignment="1">
      <x:alignment wrapText="1"/>
    </x:xf>
    <x:xf numFmtId="0" fontId="12" fillId="5" borderId="0" xfId="1" applyFont="1" applyFill="1" applyAlignment="1">
      <x:alignment horizontal="center" vertical="center"/>
    </x:xf>
    <x:xf numFmtId="0" fontId="13" fillId="5" borderId="0" xfId="0" applyFont="1" applyFill="1" applyAlignment="1">
      <x:alignment horizontal="center" vertical="center"/>
    </x:xf>
    <x:xf numFmtId="0" fontId="1" fillId="3" borderId="0" xfId="0" applyFont="1" applyFill="1" applyAlignment="1">
      <x:alignment vertical="center"/>
    </x:xf>
    <x:xf numFmtId="0" fontId="0" fillId="0" borderId="0" xfId="0" applyAlignment="1">
      <x:alignment vertical="center"/>
    </x:xf>
    <x:xf numFmtId="0" fontId="14" fillId="2" borderId="0" xfId="0" applyFont="1" applyFill="1"/>
    <x:xf numFmtId="0" fontId="8" fillId="0" borderId="0" xfId="0" applyFont="1"/>
    <x:xf numFmtId="0" fontId="4" fillId="4" borderId="0" xfId="0" applyFont="1" applyFill="1" applyAlignment="1">
      <x:alignment vertical="center"/>
    </x:xf>
    <x:xf numFmtId="0" fontId="8" fillId="0" borderId="0" xfId="0" applyFont="1" applyAlignment="1">
      <x:alignment wrapText="1"/>
    </x:xf>
    <x:xf numFmtId="0" fontId="29" fillId="0" borderId="0" xfId="0" applyFont="1"/>
    <x:xf numFmtId="0" fontId="5" fillId="2" borderId="0" xfId="0" applyFont="1" applyFill="1"/>
    <x:xf numFmtId="0" fontId="0" fillId="3" borderId="0" xfId="0" applyFill="1"/>
    <x:xf numFmtId="0" fontId="8" fillId="3" borderId="0" xfId="0" applyFont="1" applyFill="1"/>
    <x:xf numFmtId="0" fontId="43" fillId="2" borderId="0" xfId="0" applyFont="1" applyFill="1"/>
    <x:xf numFmtId="0" fontId="23" fillId="7" borderId="0" xfId="0" applyFont="1" applyFill="1" applyAlignment="1">
      <x:alignment wrapText="1"/>
    </x:xf>
    <x:xf numFmtId="0" fontId="4" fillId="4" borderId="0" xfId="0" applyFont="1" applyFill="1"/>
  </x:cellXfs>
  <x:cellStyles count="2">
    <x:cellStyle name="Hipervínculo" xfId="1"/>
    <x:cellStyle name="Normal" xfId="0"/>
  </x:cellStyles>
  <x:dxfs count="34">
    <x:dxf>
      <x:font>
        <x:color rgb="FFA12632"/>
      </x:font>
      <x:fill>
        <x:patternFill>
          <x:bgColor indexed="64"/>
        </x:patternFill>
      </x:fill>
    </x:dxf>
    <x:dxf>
      <x:font>
        <x:color rgb="FF23704D"/>
      </x:font>
      <x:fill>
        <x:patternFill>
          <x:bgColor indexed="64"/>
        </x:patternFill>
      </x:fill>
    </x:dxf>
    <x:dxf>
      <x:font>
        <x:color rgb="FFA12632"/>
      </x:font>
      <x:fill>
        <x:patternFill>
          <x:bgColor indexed="64"/>
        </x:patternFill>
      </x:fill>
    </x:dxf>
    <x:dxf>
      <x:font>
        <x:color rgb="FF23704D"/>
      </x:font>
      <x:fill>
        <x:patternFill>
          <x:bgColor indexed="64"/>
        </x:patternFill>
      </x:fill>
    </x:dxf>
    <x:dxf>
      <x:font>
        <x:u val="none"/>
        <x:sz val="11"/>
        <x:color rgb="FF142D4E"/>
        <x:name val="Aptos"/>
        <x:scheme val="none"/>
      </x:font>
    </x:dxf>
    <x:dxf>
      <x:font>
        <x:b/>
        <x:u val="none"/>
        <x:sz val="11"/>
        <x:color rgb="FF142D4E"/>
        <x:name val="Aptos"/>
        <x:scheme val="none"/>
      </x:font>
    </x:dxf>
    <x:dxf>
      <x:font>
        <x:u val="none"/>
        <x:sz val="11"/>
        <x:color rgb="FF142D4E"/>
        <x:name val="Aptos"/>
        <x:scheme val="none"/>
      </x:font>
    </x:dxf>
    <x:dxf>
      <x:font>
        <x:u val="none"/>
        <x:sz val="11"/>
        <x:color rgb="FFFFFFFF"/>
        <x:name val="Aptos"/>
        <x:scheme val="none"/>
      </x:font>
      <x:fill>
        <x:patternFill>
          <x:bgColor indexed="64"/>
        </x:patternFill>
      </x:fill>
    </x:dxf>
    <x:dxf>
      <x:font>
        <x:u val="none"/>
        <x:sz val="11"/>
        <x:color rgb="FF142D4E"/>
        <x:name val="Aptos"/>
        <x:scheme val="none"/>
      </x:font>
    </x:dxf>
    <x:dxf>
      <x:font>
        <x:u val="none"/>
        <x:sz val="11"/>
        <x:color rgb="FF142D4E"/>
        <x:name val="Aptos"/>
        <x:scheme val="none"/>
      </x:font>
    </x:dxf>
    <x:dxf>
      <x:font>
        <x:b/>
        <x:u val="none"/>
        <x:sz val="16"/>
        <x:color rgb="FF987526"/>
        <x:name val="Aptos"/>
        <x:scheme val="none"/>
      </x:font>
      <x:numFmt numFmtId="0" formatCode="General"/>
    </x:dxf>
    <x:dxf>
      <x:font>
        <x:u val="none"/>
        <x:sz val="11"/>
        <x:color rgb="FF142D4E"/>
        <x:name val="Aptos"/>
        <x:scheme val="none"/>
      </x:font>
    </x:dxf>
    <x:dxf>
      <x:font>
        <x:u val="none"/>
        <x:sz val="11"/>
        <x:color rgb="FF142D4E"/>
        <x:name val="Aptos"/>
        <x:scheme val="none"/>
      </x:font>
    </x:dxf>
    <x:dxf>
      <x:font>
        <x:u val="none"/>
        <x:sz val="11"/>
        <x:color rgb="FF142D4E"/>
        <x:name val="Aptos"/>
        <x:scheme val="none"/>
      </x:font>
    </x:dxf>
    <x:dxf>
      <x:font>
        <x:u val="none"/>
        <x:sz val="11"/>
        <x:color rgb="FF142D4E"/>
        <x:name val="Aptos"/>
        <x:scheme val="none"/>
      </x:font>
    </x:dxf>
    <x:dxf>
      <x:font>
        <x:u val="none"/>
        <x:sz val="11"/>
        <x:color rgb="FFFFFFFF"/>
        <x:name val="Aptos"/>
        <x:scheme val="none"/>
      </x:font>
      <x:fill>
        <x:patternFill>
          <x:bgColor indexed="64"/>
        </x:patternFill>
      </x:fill>
    </x:dxf>
    <x:dxf>
      <x:font>
        <x:u val="none"/>
        <x:sz val="11"/>
        <x:color rgb="FF142D4E"/>
        <x:name val="Aptos"/>
        <x:scheme val="none"/>
      </x:font>
    </x:dxf>
    <x:dxf>
      <x:font>
        <x:b/>
        <x:u val="none"/>
        <x:sz val="16"/>
        <x:color rgb="FF987526"/>
        <x:name val="Aptos"/>
        <x:scheme val="none"/>
      </x:font>
      <x:fill>
        <x:patternFill>
          <x:bgColor indexed="64"/>
        </x:patternFill>
      </x:fill>
    </x:dxf>
    <x:dxf>
      <x:font>
        <x:u val="none"/>
        <x:sz val="11"/>
        <x:color rgb="FF142D4E"/>
        <x:name val="Aptos"/>
        <x:scheme val="none"/>
      </x:font>
    </x:dxf>
    <x:dxf>
      <x:font>
        <x:u val="none"/>
        <x:sz val="11"/>
        <x:color rgb="FF142D4E"/>
        <x:name val="Aptos"/>
        <x:scheme val="none"/>
      </x:font>
    </x:dxf>
    <x:dxf>
      <x:font>
        <x:b/>
        <x:u val="none"/>
        <x:sz val="11"/>
        <x:color rgb="FF142D4E"/>
        <x:name val="Aptos"/>
        <x:scheme val="none"/>
      </x:font>
    </x:dxf>
    <x:dxf>
      <x:font>
        <x:u val="none"/>
        <x:sz val="11"/>
        <x:color rgb="FF142D4E"/>
        <x:name val="Aptos"/>
        <x:scheme val="none"/>
      </x:font>
    </x:dxf>
    <x:dxf>
      <x:font>
        <x:u val="none"/>
        <x:sz val="11"/>
        <x:color rgb="FF142D4E"/>
        <x:name val="Aptos"/>
        <x:scheme val="none"/>
      </x:font>
    </x:dxf>
    <x:dxf>
      <x:font>
        <x:u val="none"/>
        <x:sz val="11"/>
        <x:color rgb="FF142D4E"/>
        <x:name val="Aptos"/>
        <x:scheme val="none"/>
      </x:font>
    </x:dxf>
    <x:dxf>
      <x:font>
        <x:u val="none"/>
        <x:sz val="11"/>
        <x:color rgb="FFFFFFFF"/>
        <x:name val="Aptos"/>
        <x:scheme val="none"/>
      </x:font>
      <x:fill>
        <x:patternFill>
          <x:bgColor indexed="64"/>
        </x:patternFill>
      </x:fill>
    </x:dxf>
    <x:dxf>
      <x:font>
        <x:u val="none"/>
        <x:sz val="11"/>
        <x:color rgb="FF142D4E"/>
        <x:name val="Aptos"/>
        <x:scheme val="none"/>
      </x:font>
    </x:dxf>
    <x:dxf>
      <x:font>
        <x:b/>
        <x:u val="none"/>
        <x:sz val="16"/>
        <x:color rgb="FF987526"/>
        <x:name val="Aptos"/>
        <x:scheme val="none"/>
      </x:font>
      <x:fill>
        <x:patternFill>
          <x:bgColor indexed="64"/>
        </x:patternFill>
      </x:fill>
    </x:dxf>
    <x:dxf>
      <x:font>
        <x:u val="none"/>
        <x:sz val="11"/>
        <x:color rgb="FF142D4E"/>
        <x:name val="Aptos"/>
        <x:scheme val="none"/>
      </x:font>
    </x:dxf>
    <x:dxf>
      <x:font>
        <x:u val="none"/>
        <x:sz val="11"/>
        <x:color rgb="FF142D4E"/>
        <x:name val="Aptos"/>
        <x:scheme val="none"/>
      </x:font>
    </x:dxf>
    <x:dxf>
      <x:font>
        <x:b/>
        <x:u val="none"/>
        <x:sz val="11"/>
        <x:color rgb="FF142D4E"/>
        <x:name val="Aptos"/>
        <x:scheme val="none"/>
      </x:font>
    </x:dxf>
    <x:dxf>
      <x:font>
        <x:u val="none"/>
        <x:sz val="11"/>
        <x:color rgb="FF142D4E"/>
        <x:name val="Aptos"/>
        <x:scheme val="none"/>
      </x:font>
    </x:dxf>
    <x:dxf>
      <x:font>
        <x:u val="none"/>
        <x:sz val="11"/>
        <x:color rgb="FF142D4E"/>
        <x:name val="Aptos"/>
        <x:scheme val="none"/>
      </x:font>
    </x:dxf>
    <x:dxf>
      <x:font>
        <x:u val="none"/>
        <x:sz val="11"/>
        <x:color rgb="FF142D4E"/>
        <x:name val="Aptos"/>
        <x:scheme val="none"/>
      </x:font>
    </x:dxf>
    <x:dxf>
      <x:font>
        <x:u val="none"/>
        <x:sz val="11"/>
        <x:color rgb="FFFFFFFF"/>
        <x:name val="Aptos"/>
        <x:scheme val="none"/>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db02b00e7c6499e" /><Relationship Type="http://schemas.openxmlformats.org/officeDocument/2006/relationships/theme" Target="/xl/theme/theme1.xml" Id="Red4dde87c789486d" /><Relationship Type="http://schemas.openxmlformats.org/officeDocument/2006/relationships/sheetMetadata" Target="/xl/metadata1.xml" Id="R3d17bfaf2f7e4f95" /><Relationship Type="http://schemas.openxmlformats.org/officeDocument/2006/relationships/sharedStrings" Target="/xl/sharedStrings.xml" Id="R7dddd887d9f84848" /><Relationship Type="http://schemas.openxmlformats.org/officeDocument/2006/relationships/worksheet" Target="/xl/worksheets/sheet1.xml" Id="Rfe069f6f88504a9d" /><Relationship Type="http://schemas.openxmlformats.org/officeDocument/2006/relationships/worksheet" Target="/xl/worksheets/sheet2.xml" Id="R908179bb64884ecc" /><Relationship Type="http://schemas.openxmlformats.org/officeDocument/2006/relationships/worksheet" Target="/xl/worksheets/sheet3.xml" Id="R222c33d2b279484a" /><Relationship Type="http://schemas.openxmlformats.org/officeDocument/2006/relationships/worksheet" Target="/xl/worksheets/sheet4.xml" Id="R2db1eacc16534189" /><Relationship Type="http://schemas.openxmlformats.org/officeDocument/2006/relationships/worksheet" Target="/xl/worksheets/sheet5.xml" Id="Rf001dbe3161b4d54" /><Relationship Type="http://schemas.openxmlformats.org/officeDocument/2006/relationships/worksheet" Target="/xl/worksheets/sheet6.xml" Id="Rd83e80c520f74247" /><Relationship Type="http://schemas.microsoft.com/office/2017/10/relationships/person" Target="/xl/persons/person.xml" Id="R50cb367830f140f1" /></Relationships>
</file>

<file path=xl/persons/person.xml><?xml version="1.0" encoding="utf-8"?>
<xltc:personList xmlns:xltc="http://schemas.microsoft.com/office/spreadsheetml/2018/threadedcomments">
  <xltc:person displayName="Luisa Espi" id="{A0679A92-0E07-4E5A-B72C-12951866F3E8}" userId="S::payment@shawellness.com::ed18fbcd-417e-4870-9fff-96e1c34f10db" providerId="AD"/>
</xltc:personList>
</file>

<file path=xl/tables/table1.xml><?xml version="1.0" encoding="utf-8"?>
<x:table xmlns:x="http://schemas.openxmlformats.org/spreadsheetml/2006/main" id="1" name="tblAlianza" displayName="tblAlianza" ref="B5:H32" totalsRowShown="0" dataDxfId="32">
  <x:autoFilter ref="B5:H32"/>
  <x:tableColumns count="7">
    <x:tableColumn id="1" name="Clase" dataDxfId="31"/>
    <x:tableColumn id="2" name="Especialización" dataDxfId="30"/>
    <x:tableColumn id="3" name="Raza recomendada" dataDxfId="29"/>
    <x:tableColumn id="4" name="Alternativa" dataDxfId="28"/>
    <x:tableColumn id="5" name="Explicación" dataDxfId="27"/>
    <x:tableColumn id="6" name="Prioridad" dataDxfId="26"/>
    <x:tableColumn id="7" name="Motivo principal" dataDxfId="25"/>
  </x:tableColumns>
  <x:tableStyleInfo name="TableStyleMedium2" showFirstColumn="0" showLastColumn="0" showRowStripes="1" showColumnStripes="0"/>
</x:table>
</file>

<file path=xl/tables/table2.xml><?xml version="1.0" encoding="utf-8"?>
<x:table xmlns:x="http://schemas.openxmlformats.org/spreadsheetml/2006/main" id="2" name="tblHorda" displayName="tblHorda" ref="B5:H29" totalsRowShown="0" dataDxfId="23">
  <x:autoFilter ref="B5:H29"/>
  <x:tableColumns count="7">
    <x:tableColumn id="1" name="Clase" dataDxfId="22"/>
    <x:tableColumn id="2" name="Especialización" dataDxfId="21"/>
    <x:tableColumn id="3" name="Raza recomendada" dataDxfId="20"/>
    <x:tableColumn id="4" name="Alternativa" dataDxfId="19"/>
    <x:tableColumn id="5" name="Explicación" dataDxfId="18"/>
    <x:tableColumn id="6" name="Prioridad" dataDxfId="17"/>
    <x:tableColumn id="7" name="Motivo principal" dataDxfId="16"/>
  </x:tableColumns>
  <x:tableStyleInfo name="TableStyleMedium2" showFirstColumn="0" showLastColumn="0" showRowStripes="1" showColumnStripes="0"/>
</x:table>
</file>

<file path=xl/tables/table3.xml><?xml version="1.0" encoding="utf-8"?>
<x:table xmlns:x="http://schemas.openxmlformats.org/spreadsheetml/2006/main" id="3" name="tblRaciales" displayName="tblRaciales" ref="B5:G13" totalsRowShown="0" dataDxfId="14">
  <x:autoFilter ref="B5:G13"/>
  <x:tableColumns count="6">
    <x:tableColumn id="1" name="Raza" dataDxfId="13"/>
    <x:tableColumn id="2" name="Fortaleza principal" dataDxfId="12"/>
    <x:tableColumn id="3" name="Debilidad" dataDxfId="11"/>
    <x:tableColumn id="4" name="Escala de utilidad" dataDxfId="10"/>
    <x:tableColumn id="5" name="Comentarios" dataDxfId="9"/>
    <x:tableColumn id="6" name="Uso principal" dataDxfId="8"/>
  </x:tableColumns>
  <x:tableStyleInfo name="TableStyleMedium2" showFirstColumn="0" showLastColumn="0" showRowStripes="1" showColumnStripes="0"/>
</x:table>
</file>

<file path=xl/tables/table4.xml><?xml version="1.0" encoding="utf-8"?>
<x:table xmlns:x="http://schemas.openxmlformats.org/spreadsheetml/2006/main" id="4" name="tblMetodologia" displayName="tblMetodologia" ref="B5:C22" totalsRowShown="0" dataDxfId="6">
  <x:autoFilter ref="B5:C22"/>
  <x:tableColumns count="2">
    <x:tableColumn id="1" name="Criterio" dataDxfId="5"/>
    <x:tableColumn id="2" name="Aplicación y límites" dataDxfId="4"/>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threadedcomments/threadedcomment.xml><?xml version="1.0" encoding="utf-8"?>
<xltc:ThreadedComments xmlns:xltc="http://schemas.microsoft.com/office/spreadsheetml/2018/threadedcomments">
  <xltc:threadedComment ref="E6" dT="2026-10-20T13:58:20.06" personId="{A0679A92-0E07-4E5A-B72C-12951866F3E8}" id="{5AA1BA58-8E26-42A2-8198-E02D91CAF2CC}">
    <xltc:text>Escala editorial de cinco niveles, no resultado estadístico. Conversión visual de la nota anterior: 1–2 → una estrella; 3–4 → dos; 5–6 → tres; 7–8 → cuatro; 9–10 → cinco. No modifica recomendaciones.</xltc:text>
  </xltc:threadedComment>
  <xltc:threadedComment ref="E7" dT="2026-10-20T13:58:20.17" personId="{A0679A92-0E07-4E5A-B72C-12951866F3E8}" id="{43D4794F-1C81-4445-B4F1-F5D1F58C5C60}">
    <xltc:text>Escala editorial de cinco niveles, no resultado estadístico. Conversión visual de la nota anterior: 1–2 → una estrella; 3–4 → dos; 5–6 → tres; 7–8 → cuatro; 9–10 → cinco. No modifica recomendaciones.</xltc:text>
  </xltc:threadedComment>
  <xltc:threadedComment ref="E8" dT="2026-10-20T13:58:20.18" personId="{A0679A92-0E07-4E5A-B72C-12951866F3E8}" id="{5FC22A69-E8EE-449E-B891-385819D5097C}">
    <xltc:text>Escala editorial de cinco niveles, no resultado estadístico. Conversión visual de la nota anterior: 1–2 → una estrella; 3–4 → dos; 5–6 → tres; 7–8 → cuatro; 9–10 → cinco. No modifica recomendaciones.</xltc:text>
  </xltc:threadedComment>
  <xltc:threadedComment ref="E9" dT="2026-10-20T13:58:20.19" personId="{A0679A92-0E07-4E5A-B72C-12951866F3E8}" id="{CE6EE9C1-8B77-456C-9E1C-FE97D740F477}">
    <xltc:text>Escala editorial de cinco niveles, no resultado estadístico. Conversión visual de la nota anterior: 1–2 → una estrella; 3–4 → dos; 5–6 → tres; 7–8 → cuatro; 9–10 → cinco. No modifica recomendaciones.</xltc:text>
  </xltc:threadedComment>
  <xltc:threadedComment ref="E10" dT="2026-10-20T13:58:20.19" personId="{A0679A92-0E07-4E5A-B72C-12951866F3E8}" id="{A0D41552-73F8-4BD4-AA24-5F64389C3266}">
    <xltc:text>Escala editorial de cinco niveles, no resultado estadístico. Conversión visual de la nota anterior: 1–2 → una estrella; 3–4 → dos; 5–6 → tres; 7–8 → cuatro; 9–10 → cinco. No modifica recomendaciones.</xltc:text>
  </xltc:threadedComment>
  <xltc:threadedComment ref="E11" dT="2026-10-20T13:58:20.2" personId="{A0679A92-0E07-4E5A-B72C-12951866F3E8}" id="{C6FC0EFA-5023-4856-A9EB-248024A8A4D0}">
    <xltc:text>Escala editorial de cinco niveles, no resultado estadístico. Conversión visual de la nota anterior: 1–2 → una estrella; 3–4 → dos; 5–6 → tres; 7–8 → cuatro; 9–10 → cinco. No modifica recomendaciones.</xltc:text>
  </xltc:threadedComment>
  <xltc:threadedComment ref="E12" dT="2026-10-20T13:58:20.21" personId="{A0679A92-0E07-4E5A-B72C-12951866F3E8}" id="{E827CF90-85AC-4F91-B3C4-47558C322B4D}">
    <xltc:text>Escala editorial de cinco niveles, no resultado estadístico. Conversión visual de la nota anterior: 1–2 → una estrella; 3–4 → dos; 5–6 → tres; 7–8 → cuatro; 9–10 → cinco. No modifica recomendaciones.</xltc:text>
  </xltc:threadedComment>
  <xltc:threadedComment ref="E13" dT="2026-10-20T13:58:20.21" personId="{A0679A92-0E07-4E5A-B72C-12951866F3E8}" id="{D61C5C97-811D-4D43-9D36-A91C8082946D}">
    <xltc:text>Escala editorial de cinco niveles, no resultado estadístico. Conversión visual de la nota anterior: 1–2 → una estrella; 3–4 → dos; 5–6 → tres; 7–8 → cuatro; 9–10 → cinco. No modifica recomendaciones.</xltc:text>
  </xltc:threadedComment>
</xltc:ThreadedComments>
</file>

<file path=xl/worksheets/_rels/sheet3.xml.rels>&#65279;<?xml version="1.0" encoding="utf-8"?><Relationships xmlns="http://schemas.openxmlformats.org/package/2006/relationships"><Relationship Type="http://schemas.openxmlformats.org/officeDocument/2006/relationships/table" Target="/xl/tables/table1.xml" Id="R91abfe92538e4dc6" /></Relationships>
</file>

<file path=xl/worksheets/_rels/sheet4.xml.rels>&#65279;<?xml version="1.0" encoding="utf-8"?><Relationships xmlns="http://schemas.openxmlformats.org/package/2006/relationships"><Relationship Type="http://schemas.openxmlformats.org/officeDocument/2006/relationships/table" Target="/xl/tables/table2.xml" Id="R06cfa6104c324b38" /></Relationships>
</file>

<file path=xl/worksheets/_rels/sheet5.xml.rels>&#65279;<?xml version="1.0" encoding="utf-8"?><Relationships xmlns="http://schemas.openxmlformats.org/package/2006/relationships"><Relationship Type="http://schemas.openxmlformats.org/officeDocument/2006/relationships/comments" Target="/xl/comments1.xml" Id="R56c0eaf4a9424ca2" /><Relationship Type="http://schemas.openxmlformats.org/officeDocument/2006/relationships/vmlDrawing" Target="/xl/drawings/vmldrawing.vml" Id="R4f745c03b576466f" /><Relationship Type="http://schemas.microsoft.com/office/2017/10/relationships/threadedComment" Target="/xl/threadedcomments/threadedcomment.xml" Id="Re9b3876494a348c2" /><Relationship Type="http://schemas.openxmlformats.org/officeDocument/2006/relationships/table" Target="/xl/tables/table3.xml" Id="R0fc551fb1d9f460f" /></Relationships>
</file>

<file path=xl/worksheets/_rels/sheet6.xml.rels>&#65279;<?xml version="1.0" encoding="utf-8"?><Relationships xmlns="http://schemas.openxmlformats.org/package/2006/relationships"><Relationship Type="http://schemas.openxmlformats.org/officeDocument/2006/relationships/hyperlink" Target="https://news.blizzard.com/en-us/article/24304075/create-the-hero-you-want-to-be-in-world-of-warcraft-forever" TargetMode="External" Id="R0f9e5da68bfa442d" /><Relationship Type="http://schemas.openxmlformats.org/officeDocument/2006/relationships/hyperlink" Target="https://www.icy-veins.com/wow-forever/race-guide" TargetMode="External" Id="Rb272f939209a4634" /><Relationship Type="http://schemas.openxmlformats.org/officeDocument/2006/relationships/comments" Target="/xl/comments2.xml" Id="R295834f87ff14ade" /><Relationship Type="http://schemas.openxmlformats.org/officeDocument/2006/relationships/vmlDrawing" Target="/xl/drawings/vmldrawing2.vml" Id="Rf6bbd1b596164997" /><Relationship Type="http://schemas.openxmlformats.org/officeDocument/2006/relationships/table" Target="/xl/tables/table4.xml" Id="Rb28cbd5e021945cc" /></Relationships>
</file>

<file path=xl/worksheets/sheet1.xml><?xml version="1.0" encoding="utf-8"?>
<x:worksheet xmlns:x="http://schemas.openxmlformats.org/spreadsheetml/2006/main">
  <x:sheetPr>
    <x:tabColor rgb="FF718096"/>
  </x:sheetPr>
  <x:sheetViews>
    <x:sheetView showGridLines="0" workbookViewId="0">
      <x:pane ySplit="1" topLeftCell="A2" activePane="bottomLeft" state="frozen"/>
    </x:sheetView>
  </x:sheetViews>
  <x:sheetFormatPr baseColWidth="10" defaultColWidth="9.109375" defaultRowHeight="14.399999618530273"/>
  <x:cols>
    <x:col min="1" max="1" width="4.109375" customWidth="1"/>
    <x:col min="2" max="11" width="13.6640625" customWidth="1"/>
  </x:cols>
  <x:sheetData>
    <x:row r="1" ht="21.899999618530273" customHeight="1">
      <x:c r="A1" s="1"/>
      <x:c r="B1" s="1"/>
      <x:c r="C1" s="1"/>
      <x:c r="D1" s="1"/>
      <x:c r="E1" s="1"/>
      <x:c r="F1" s="1"/>
      <x:c r="G1" s="1"/>
      <x:c r="H1" s="1"/>
      <x:c r="I1" s="1"/>
      <x:c r="J1" s="1"/>
      <x:c r="K1" s="1"/>
      <x:c r="L1" s="1"/>
    </x:row>
    <x:row r="2" ht="21.899999618530273" customHeight="1">
      <x:c r="A2" s="1"/>
      <x:c r="B2" s="55" t="s">
        <x:v>0</x:v>
      </x:c>
      <x:c r="C2" s="55"/>
      <x:c r="D2" s="55"/>
      <x:c r="E2" s="55"/>
      <x:c r="F2" s="55"/>
      <x:c r="G2" s="55"/>
      <x:c r="H2" s="55"/>
      <x:c r="I2" s="55"/>
      <x:c r="J2" s="55"/>
      <x:c r="K2" s="55"/>
      <x:c r="L2" s="1"/>
    </x:row>
    <x:row r="3" ht="21.899999618530273" customHeight="1">
      <x:c r="A3" s="1"/>
      <x:c r="B3" s="55"/>
      <x:c r="C3" s="55"/>
      <x:c r="D3" s="55"/>
      <x:c r="E3" s="55"/>
      <x:c r="F3" s="55"/>
      <x:c r="G3" s="55"/>
      <x:c r="H3" s="55"/>
      <x:c r="I3" s="55"/>
      <x:c r="J3" s="55"/>
      <x:c r="K3" s="55"/>
      <x:c r="L3" s="1"/>
    </x:row>
    <x:row r="4" ht="21.899999618530273" customHeight="1">
      <x:c r="A4" s="1"/>
      <x:c r="B4" s="1"/>
      <x:c r="C4" s="1"/>
      <x:c r="D4" s="1"/>
      <x:c r="E4" s="1"/>
      <x:c r="F4" s="1"/>
      <x:c r="G4" s="1"/>
      <x:c r="H4" s="1"/>
      <x:c r="I4" s="1"/>
      <x:c r="J4" s="1"/>
      <x:c r="K4" s="1"/>
      <x:c r="L4" s="1"/>
    </x:row>
    <x:row r="5" ht="21.899999618530273" customHeight="1">
      <x:c r="A5" s="1"/>
      <x:c r="B5" s="7" t="s">
        <x:v>1</x:v>
      </x:c>
      <x:c r="C5" s="1"/>
      <x:c r="D5" s="1"/>
      <x:c r="E5" s="1"/>
      <x:c r="F5" s="1"/>
      <x:c r="G5" s="1"/>
      <x:c r="H5" s="1"/>
      <x:c r="I5" s="1"/>
      <x:c r="J5" s="1"/>
      <x:c r="K5" s="1"/>
      <x:c r="L5" s="1"/>
    </x:row>
    <x:row r="6" ht="21.899999618530273" customHeight="1">
      <x:c r="A6" s="1"/>
      <x:c r="B6" s="1"/>
      <x:c r="C6" s="1"/>
      <x:c r="D6" s="1"/>
      <x:c r="E6" s="1"/>
      <x:c r="F6" s="1"/>
      <x:c r="G6" s="1"/>
      <x:c r="H6" s="1"/>
      <x:c r="I6" s="1"/>
      <x:c r="J6" s="1"/>
      <x:c r="K6" s="1"/>
      <x:c r="L6" s="1"/>
    </x:row>
    <x:row r="7" ht="21.899999618530273" customHeight="1">
      <x:c r="A7" s="1"/>
      <x:c r="B7" s="56" t="s">
        <x:v>2</x:v>
      </x:c>
      <x:c r="C7" s="56"/>
      <x:c r="D7" s="56"/>
      <x:c r="E7" s="56"/>
      <x:c r="F7" s="56"/>
      <x:c r="G7" s="56"/>
      <x:c r="H7" s="56"/>
      <x:c r="I7" s="56"/>
      <x:c r="J7" s="56"/>
      <x:c r="K7" s="56"/>
      <x:c r="L7" s="1"/>
    </x:row>
    <x:row r="8" ht="21.899999618530273" customHeight="1">
      <x:c r="A8" s="1"/>
      <x:c r="B8" s="56"/>
      <x:c r="C8" s="56"/>
      <x:c r="D8" s="56"/>
      <x:c r="E8" s="56"/>
      <x:c r="F8" s="56"/>
      <x:c r="G8" s="56"/>
      <x:c r="H8" s="56"/>
      <x:c r="I8" s="56"/>
      <x:c r="J8" s="56"/>
      <x:c r="K8" s="56"/>
      <x:c r="L8" s="1"/>
    </x:row>
    <x:row r="9" ht="21.899999618530273" customHeight="1">
      <x:c r="A9" s="1"/>
      <x:c r="B9" s="56"/>
      <x:c r="C9" s="56"/>
      <x:c r="D9" s="56"/>
      <x:c r="E9" s="56"/>
      <x:c r="F9" s="56"/>
      <x:c r="G9" s="56"/>
      <x:c r="H9" s="56"/>
      <x:c r="I9" s="56"/>
      <x:c r="J9" s="56"/>
      <x:c r="K9" s="56"/>
      <x:c r="L9" s="1"/>
    </x:row>
    <x:row r="10" ht="21.899999618530273" customHeight="1">
      <x:c r="A10" s="1"/>
      <x:c r="B10" s="1"/>
      <x:c r="C10" s="1"/>
      <x:c r="D10" s="1"/>
      <x:c r="E10" s="1"/>
      <x:c r="F10" s="1"/>
      <x:c r="G10" s="1"/>
      <x:c r="H10" s="1"/>
      <x:c r="I10" s="1"/>
      <x:c r="J10" s="1"/>
      <x:c r="K10" s="1"/>
      <x:c r="L10" s="1"/>
    </x:row>
    <x:row r="11" ht="21.899999618530273" customHeight="1">
      <x:c r="A11" s="1"/>
      <x:c r="B11" s="1"/>
      <x:c r="C11" s="1"/>
      <x:c r="D11" s="1"/>
      <x:c r="E11" s="1"/>
      <x:c r="F11" s="1"/>
      <x:c r="G11" s="1"/>
      <x:c r="H11" s="1"/>
      <x:c r="I11" s="1"/>
      <x:c r="J11" s="1"/>
      <x:c r="K11" s="1"/>
      <x:c r="L11" s="1"/>
    </x:row>
    <x:row r="12" ht="21.899999618530273" customHeight="1">
      <x:c r="A12" s="1"/>
      <x:c r="B12" s="57" t="s">
        <x:v>3</x:v>
      </x:c>
      <x:c r="C12" s="58"/>
      <x:c r="D12" s="58"/>
      <x:c r="E12" s="58"/>
      <x:c r="F12" s="58"/>
      <x:c r="G12" s="1"/>
      <x:c r="H12" s="1"/>
      <x:c r="I12" s="1"/>
      <x:c r="J12" s="1"/>
      <x:c r="K12" s="1"/>
      <x:c r="L12" s="1"/>
    </x:row>
    <x:row r="13" ht="21.899999618530273" customHeight="1">
      <x:c r="A13" s="1"/>
      <x:c r="B13" s="58"/>
      <x:c r="C13" s="58"/>
      <x:c r="D13" s="58"/>
      <x:c r="E13" s="58"/>
      <x:c r="F13" s="58"/>
      <x:c r="G13" s="1"/>
      <x:c r="H13" s="1"/>
      <x:c r="I13" s="1"/>
      <x:c r="J13" s="1"/>
      <x:c r="K13" s="1"/>
      <x:c r="L13" s="1"/>
    </x:row>
    <x:row r="14" ht="21.899999618530273" customHeight="1">
      <x:c r="A14" s="1"/>
      <x:c r="B14" s="1"/>
      <x:c r="C14" s="1"/>
      <x:c r="D14" s="1"/>
      <x:c r="E14" s="1"/>
      <x:c r="F14" s="1"/>
      <x:c r="G14" s="1"/>
      <x:c r="H14" s="1"/>
      <x:c r="I14" s="1"/>
      <x:c r="J14" s="1"/>
      <x:c r="K14" s="1"/>
      <x:c r="L14" s="1"/>
    </x:row>
    <x:row r="15" ht="21.899999618530273" customHeight="1">
      <x:c r="A15" s="1"/>
      <x:c r="B15" s="1"/>
      <x:c r="C15" s="1"/>
      <x:c r="D15" s="1"/>
      <x:c r="E15" s="1"/>
      <x:c r="F15" s="1"/>
      <x:c r="G15" s="1"/>
      <x:c r="H15" s="1"/>
      <x:c r="I15" s="1"/>
      <x:c r="J15" s="1"/>
      <x:c r="K15" s="1"/>
      <x:c r="L15" s="1"/>
    </x:row>
    <x:row r="16" ht="30" customHeight="1">
      <x:c r="A16" s="1"/>
      <x:c r="B16" s="59" t="s">
        <x:v>4</x:v>
      </x:c>
      <x:c r="C16" s="59"/>
      <x:c r="D16" s="59"/>
      <x:c r="E16" s="59"/>
      <x:c r="F16" s="59"/>
      <x:c r="G16" s="59"/>
      <x:c r="H16" s="59"/>
      <x:c r="I16" s="59"/>
      <x:c r="J16" s="59"/>
      <x:c r="K16" s="59"/>
      <x:c r="L16" s="1"/>
    </x:row>
    <x:row r="17" ht="21.899999618530273" customHeight="1">
      <x:c r="A17" s="1"/>
      <x:c r="B17" s="1"/>
      <x:c r="C17" s="1"/>
      <x:c r="D17" s="1"/>
      <x:c r="E17" s="1"/>
      <x:c r="F17" s="1"/>
      <x:c r="G17" s="1"/>
      <x:c r="H17" s="1"/>
      <x:c r="I17" s="1"/>
      <x:c r="J17" s="1"/>
      <x:c r="K17" s="1"/>
      <x:c r="L17" s="1"/>
    </x:row>
    <x:row r="18" ht="21.899999618530273" customHeight="1">
      <x:c r="A18" s="1"/>
      <x:c r="B18" s="60" t="s">
        <x:v>5</x:v>
      </x:c>
      <x:c r="C18" s="60"/>
      <x:c r="D18" s="60"/>
      <x:c r="E18" s="3"/>
      <x:c r="F18" s="60" t="s">
        <x:v>6</x:v>
      </x:c>
      <x:c r="G18" s="60"/>
      <x:c r="H18" s="60"/>
      <x:c r="I18" s="3"/>
      <x:c r="J18" s="60" t="s">
        <x:v>7</x:v>
      </x:c>
      <x:c r="K18" s="60"/>
      <x:c r="L18" s="1"/>
    </x:row>
    <x:row r="19" ht="44.099998474121094" customHeight="1">
      <x:c r="A19" s="1"/>
      <x:c r="B19" s="32">
        <x:f>ROWS(tblAlianza[Clase])</x:f>
        <x:v>27</x:v>
      </x:c>
      <x:c r="C19" s="3"/>
      <x:c r="D19" s="3"/>
      <x:c r="E19" s="3"/>
      <x:c r="F19" s="32">
        <x:f>ROWS(tblHorda[Clase])</x:f>
        <x:v>24</x:v>
      </x:c>
      <x:c r="G19" s="3"/>
      <x:c r="H19" s="3"/>
      <x:c r="I19" s="3"/>
      <x:c r="J19" s="32">
        <x:f>ROWS(tblRaciales[Raza])</x:f>
        <x:v>8</x:v>
      </x:c>
      <x:c r="K19" s="3"/>
      <x:c r="L19" s="1"/>
    </x:row>
    <x:row r="20" ht="21.899999618530273" customHeight="1">
      <x:c r="A20" s="1"/>
      <x:c r="B20" s="54" t="s">
        <x:v>8</x:v>
      </x:c>
      <x:c r="C20" s="54"/>
      <x:c r="D20" s="54"/>
      <x:c r="E20" s="3"/>
      <x:c r="F20" s="54" t="s">
        <x:v>8</x:v>
      </x:c>
      <x:c r="G20" s="54"/>
      <x:c r="H20" s="54"/>
      <x:c r="I20" s="3"/>
      <x:c r="J20" s="54" t="s">
        <x:v>9</x:v>
      </x:c>
      <x:c r="K20" s="54"/>
      <x:c r="L20" s="1"/>
    </x:row>
    <x:row r="21" ht="21.899999618530273" customHeight="1">
      <x:c r="A21" s="1"/>
      <x:c r="B21" s="1"/>
      <x:c r="C21" s="1"/>
      <x:c r="D21" s="1"/>
      <x:c r="E21" s="1"/>
      <x:c r="F21" s="1"/>
      <x:c r="G21" s="1"/>
      <x:c r="H21" s="1"/>
      <x:c r="I21" s="1"/>
      <x:c r="J21" s="1"/>
      <x:c r="K21" s="1"/>
      <x:c r="L21" s="1"/>
    </x:row>
    <x:row r="22" ht="21.899999618530273" customHeight="1">
      <x:c r="A22" s="1"/>
      <x:c r="B22" s="50" t="s">
        <x:v>10</x:v>
      </x:c>
      <x:c r="C22" s="51"/>
      <x:c r="D22" s="51"/>
      <x:c r="E22" s="1"/>
      <x:c r="F22" s="50" t="s">
        <x:v>11</x:v>
      </x:c>
      <x:c r="G22" s="51"/>
      <x:c r="H22" s="51"/>
      <x:c r="I22" s="1"/>
      <x:c r="J22" s="50" t="s">
        <x:v>12</x:v>
      </x:c>
      <x:c r="K22" s="51"/>
      <x:c r="L22" s="1"/>
    </x:row>
    <x:row r="23" ht="21.899999618530273" customHeight="1">
      <x:c r="A23" s="1"/>
      <x:c r="B23" s="51"/>
      <x:c r="C23" s="51"/>
      <x:c r="D23" s="51"/>
      <x:c r="E23" s="1"/>
      <x:c r="F23" s="51"/>
      <x:c r="G23" s="51"/>
      <x:c r="H23" s="51"/>
      <x:c r="I23" s="1"/>
      <x:c r="J23" s="51"/>
      <x:c r="K23" s="51"/>
      <x:c r="L23" s="1"/>
    </x:row>
    <x:row r="24" ht="21.899999618530273" customHeight="1">
      <x:c r="A24" s="1"/>
      <x:c r="B24" s="1"/>
      <x:c r="C24" s="1"/>
      <x:c r="D24" s="1"/>
      <x:c r="E24" s="1"/>
      <x:c r="F24" s="1"/>
      <x:c r="G24" s="1"/>
      <x:c r="H24" s="1"/>
      <x:c r="I24" s="1"/>
      <x:c r="J24" s="1"/>
      <x:c r="K24" s="1"/>
      <x:c r="L24" s="1"/>
    </x:row>
    <x:row r="25" ht="21.899999618530273" customHeight="1">
      <x:c r="A25" s="1"/>
      <x:c r="B25" s="50" t="s">
        <x:v>13</x:v>
      </x:c>
      <x:c r="C25" s="51"/>
      <x:c r="D25" s="51"/>
      <x:c r="E25" s="51"/>
      <x:c r="F25" s="51"/>
      <x:c r="G25" s="1"/>
      <x:c r="H25" s="1"/>
      <x:c r="I25" s="1"/>
      <x:c r="J25" s="1"/>
      <x:c r="K25" s="1"/>
      <x:c r="L25" s="1"/>
    </x:row>
    <x:row r="26" ht="21.899999618530273" customHeight="1">
      <x:c r="A26" s="1"/>
      <x:c r="B26" s="51"/>
      <x:c r="C26" s="51"/>
      <x:c r="D26" s="51"/>
      <x:c r="E26" s="51"/>
      <x:c r="F26" s="51"/>
      <x:c r="G26" s="1"/>
      <x:c r="H26" s="1"/>
      <x:c r="I26" s="1"/>
      <x:c r="J26" s="1"/>
      <x:c r="K26" s="1"/>
      <x:c r="L26" s="1"/>
    </x:row>
    <x:row r="27" ht="21.899999618530273" customHeight="1">
      <x:c r="A27" s="1"/>
      <x:c r="B27" s="1"/>
      <x:c r="C27" s="1"/>
      <x:c r="D27" s="1"/>
      <x:c r="E27" s="1"/>
      <x:c r="F27" s="1"/>
      <x:c r="G27" s="1"/>
      <x:c r="H27" s="1"/>
      <x:c r="I27" s="1"/>
      <x:c r="J27" s="1"/>
      <x:c r="K27" s="1"/>
      <x:c r="L27" s="1"/>
    </x:row>
    <x:row r="28" ht="27.899999618530273" customHeight="1">
      <x:c r="A28" s="1"/>
      <x:c r="B28" s="52" t="s">
        <x:v>14</x:v>
      </x:c>
      <x:c r="C28" s="52"/>
      <x:c r="D28" s="52"/>
      <x:c r="E28" s="52"/>
      <x:c r="F28" s="52"/>
      <x:c r="G28" s="35"/>
      <x:c r="H28" s="52" t="s">
        <x:v>15</x:v>
      </x:c>
      <x:c r="I28" s="52"/>
      <x:c r="J28" s="52"/>
      <x:c r="K28" s="52"/>
      <x:c r="L28" s="1"/>
    </x:row>
    <x:row r="29" ht="27.899999618530273" customHeight="1">
      <x:c r="A29" s="1"/>
      <x:c r="B29" s="53" t="s">
        <x:v>16</x:v>
      </x:c>
      <x:c r="C29" s="53"/>
      <x:c r="D29" s="53"/>
      <x:c r="E29" s="53"/>
      <x:c r="F29" s="53"/>
      <x:c r="G29" s="35"/>
      <x:c r="H29" s="48" t="s">
        <x:v>17</x:v>
      </x:c>
      <x:c r="I29" s="48"/>
      <x:c r="J29" s="48"/>
      <x:c r="K29" s="48"/>
      <x:c r="L29" s="1"/>
    </x:row>
    <x:row r="30" ht="27.899999618530273" customHeight="1">
      <x:c r="A30" s="1"/>
      <x:c r="B30" s="53" t="s">
        <x:v>18</x:v>
      </x:c>
      <x:c r="C30" s="53"/>
      <x:c r="D30" s="53"/>
      <x:c r="E30" s="53"/>
      <x:c r="F30" s="53"/>
      <x:c r="G30" s="3"/>
      <x:c r="H30" s="48" t="s">
        <x:v>19</x:v>
      </x:c>
      <x:c r="I30" s="48"/>
      <x:c r="J30" s="48"/>
      <x:c r="K30" s="48"/>
      <x:c r="L30" s="1"/>
    </x:row>
    <x:row r="31" ht="27.899999618530273" customHeight="1">
      <x:c r="A31" s="1"/>
      <x:c r="B31" s="53" t="s">
        <x:v>20</x:v>
      </x:c>
      <x:c r="C31" s="53"/>
      <x:c r="D31" s="53"/>
      <x:c r="E31" s="53"/>
      <x:c r="F31" s="53"/>
      <x:c r="G31" s="36"/>
      <x:c r="H31" s="48" t="s">
        <x:v>21</x:v>
      </x:c>
      <x:c r="I31" s="48"/>
      <x:c r="J31" s="48"/>
      <x:c r="K31" s="48"/>
      <x:c r="L31" s="1"/>
    </x:row>
    <x:row r="32" ht="27.899999618530273" customHeight="1">
      <x:c r="A32" s="1"/>
      <x:c r="B32" s="53" t="s">
        <x:v>22</x:v>
      </x:c>
      <x:c r="C32" s="53"/>
      <x:c r="D32" s="53"/>
      <x:c r="E32" s="53"/>
      <x:c r="F32" s="53"/>
      <x:c r="G32" s="36"/>
      <x:c r="H32" s="48" t="s">
        <x:v>23</x:v>
      </x:c>
      <x:c r="I32" s="48"/>
      <x:c r="J32" s="48"/>
      <x:c r="K32" s="48"/>
      <x:c r="L32" s="1"/>
    </x:row>
    <x:row r="33" ht="27.899999618530273" customHeight="1">
      <x:c r="A33" s="1"/>
      <x:c r="B33" s="49" t="s">
        <x:v>24</x:v>
      </x:c>
      <x:c r="C33" s="49"/>
      <x:c r="D33" s="49"/>
      <x:c r="E33" s="49"/>
      <x:c r="F33" s="49"/>
      <x:c r="G33" s="3"/>
      <x:c r="H33" s="48" t="s">
        <x:v>25</x:v>
      </x:c>
      <x:c r="I33" s="48"/>
      <x:c r="J33" s="48"/>
      <x:c r="K33" s="48"/>
      <x:c r="L33" s="1"/>
    </x:row>
    <x:row r="34" ht="21.899999618530273" customHeight="1">
      <x:c r="A34" s="1"/>
      <x:c r="B34" s="49"/>
      <x:c r="C34" s="49"/>
      <x:c r="D34" s="49"/>
      <x:c r="E34" s="49"/>
      <x:c r="F34" s="49"/>
      <x:c r="G34" s="37"/>
      <x:c r="H34" s="37"/>
      <x:c r="I34" s="37"/>
      <x:c r="J34" s="37"/>
      <x:c r="K34" s="37"/>
      <x:c r="L34" s="1"/>
    </x:row>
    <x:row r="35" ht="21.899999618530273" customHeight="1">
      <x:c r="A35" s="1"/>
      <x:c r="B35" s="1"/>
      <x:c r="C35" s="1"/>
      <x:c r="D35" s="1"/>
      <x:c r="E35" s="1"/>
      <x:c r="F35" s="1"/>
      <x:c r="G35" s="1"/>
      <x:c r="H35" s="1"/>
      <x:c r="I35" s="1"/>
      <x:c r="J35" s="1"/>
      <x:c r="K35" s="1"/>
      <x:c r="L35" s="1"/>
    </x:row>
    <x:row r="36" ht="21.899999618530273" customHeight="1">
      <x:c r="A36" s="1"/>
      <x:c r="B36" s="45" t="s">
        <x:v>26</x:v>
      </x:c>
      <x:c r="C36" s="45"/>
      <x:c r="D36" s="45"/>
      <x:c r="E36" s="45"/>
      <x:c r="F36" s="45"/>
      <x:c r="G36" s="45"/>
      <x:c r="H36" s="45"/>
      <x:c r="I36" s="45"/>
      <x:c r="J36" s="45"/>
      <x:c r="K36" s="45"/>
      <x:c r="L36" s="1"/>
    </x:row>
    <x:row r="37" ht="21.899999618530273" customHeight="1">
      <x:c r="A37" s="1"/>
      <x:c r="B37" s="45"/>
      <x:c r="C37" s="45"/>
      <x:c r="D37" s="45"/>
      <x:c r="E37" s="45"/>
      <x:c r="F37" s="45"/>
      <x:c r="G37" s="45"/>
      <x:c r="H37" s="45"/>
      <x:c r="I37" s="45"/>
      <x:c r="J37" s="45"/>
      <x:c r="K37" s="45"/>
      <x:c r="L37" s="1"/>
    </x:row>
    <x:row r="38" ht="21.899999618530273" customHeight="1">
      <x:c r="A38" s="1"/>
      <x:c r="B38" s="1"/>
      <x:c r="C38" s="1"/>
      <x:c r="D38" s="1"/>
      <x:c r="E38" s="1"/>
      <x:c r="F38" s="1"/>
      <x:c r="G38" s="1"/>
      <x:c r="H38" s="1"/>
      <x:c r="I38" s="1"/>
      <x:c r="J38" s="1"/>
      <x:c r="K38" s="1"/>
      <x:c r="L38" s="1"/>
    </x:row>
    <x:row r="39" ht="21.899999618530273" customHeight="1">
      <x:c r="A39" s="1"/>
      <x:c r="B39" s="46" t="s">
        <x:v>27</x:v>
      </x:c>
      <x:c r="C39" s="46"/>
      <x:c r="D39" s="46"/>
      <x:c r="E39" s="46"/>
      <x:c r="F39" s="46"/>
      <x:c r="G39" s="46"/>
      <x:c r="H39" s="46"/>
      <x:c r="I39" s="46"/>
      <x:c r="J39" s="46"/>
      <x:c r="K39" s="46"/>
      <x:c r="L39" s="1"/>
    </x:row>
    <x:row r="40" ht="21.899999618530273" customHeight="1">
      <x:c r="A40" s="1"/>
      <x:c r="B40" s="1"/>
      <x:c r="C40" s="1"/>
      <x:c r="D40" s="1"/>
      <x:c r="E40" s="1"/>
      <x:c r="F40" s="1"/>
      <x:c r="G40" s="1"/>
      <x:c r="H40" s="1"/>
      <x:c r="I40" s="1"/>
      <x:c r="J40" s="1"/>
      <x:c r="K40" s="1"/>
      <x:c r="L40" s="1"/>
    </x:row>
    <x:row r="41" ht="21.899999618530273" customHeight="1">
      <x:c r="A41" s="1"/>
      <x:c r="B41" s="47" t="s">
        <x:v>28</x:v>
      </x:c>
      <x:c r="C41" s="47"/>
      <x:c r="D41" s="47"/>
      <x:c r="E41" s="47"/>
      <x:c r="F41" s="47"/>
      <x:c r="G41" s="47"/>
      <x:c r="H41" s="47"/>
      <x:c r="I41" s="47"/>
      <x:c r="J41" s="47"/>
      <x:c r="K41" s="47"/>
      <x:c r="L41" s="1"/>
    </x:row>
    <x:row r="42" ht="21.899999618530273" customHeight="1">
      <x:c r="A42" s="1"/>
      <x:c r="B42" s="1"/>
      <x:c r="C42" s="1"/>
      <x:c r="D42" s="1"/>
      <x:c r="E42" s="1"/>
      <x:c r="F42" s="1"/>
      <x:c r="G42" s="1"/>
      <x:c r="H42" s="1"/>
      <x:c r="I42" s="1"/>
      <x:c r="J42" s="1"/>
      <x:c r="K42" s="1"/>
      <x:c r="L42" s="1"/>
    </x:row>
    <x:row r="43" ht="21.899999618530273" customHeight="1">
      <x:c r="A43" s="1"/>
      <x:c r="B43" s="1"/>
      <x:c r="C43" s="1"/>
      <x:c r="D43" s="1"/>
      <x:c r="E43" s="1"/>
      <x:c r="F43" s="1"/>
      <x:c r="G43" s="1"/>
      <x:c r="H43" s="1"/>
      <x:c r="I43" s="1"/>
      <x:c r="J43" s="1"/>
      <x:c r="K43" s="1"/>
      <x:c r="L43" s="1"/>
    </x:row>
    <x:row r="44" ht="21.899999618530273" customHeight="1">
      <x:c r="A44" s="1"/>
      <x:c r="B44" s="1"/>
      <x:c r="C44" s="1"/>
      <x:c r="D44" s="1"/>
      <x:c r="E44" s="1"/>
      <x:c r="F44" s="1"/>
      <x:c r="G44" s="1"/>
      <x:c r="H44" s="1"/>
      <x:c r="I44" s="1"/>
      <x:c r="J44" s="1"/>
      <x:c r="K44" s="1"/>
      <x:c r="L44" s="1"/>
    </x:row>
    <x:row r="45" ht="21.899999618530273" customHeight="1">
      <x:c r="A45" s="1"/>
      <x:c r="B45" s="1"/>
      <x:c r="C45" s="1"/>
      <x:c r="D45" s="1"/>
      <x:c r="E45" s="1"/>
      <x:c r="F45" s="1"/>
      <x:c r="G45" s="1"/>
      <x:c r="H45" s="1"/>
      <x:c r="I45" s="1"/>
      <x:c r="J45" s="1"/>
      <x:c r="K45" s="1"/>
      <x:c r="L45" s="1"/>
    </x:row>
  </x:sheetData>
  <x:mergeCells>
    <x:mergeCell ref="B2:K3"/>
    <x:mergeCell ref="B7:K9"/>
    <x:mergeCell ref="B12:F13"/>
    <x:mergeCell ref="B16:K16"/>
    <x:mergeCell ref="B18:D18"/>
    <x:mergeCell ref="F18:H18"/>
    <x:mergeCell ref="J18:K18"/>
    <x:mergeCell ref="B20:D20"/>
    <x:mergeCell ref="F20:H20"/>
    <x:mergeCell ref="J20:K20"/>
    <x:mergeCell ref="B22:D23"/>
    <x:mergeCell ref="F22:H23"/>
    <x:mergeCell ref="J22:K23"/>
    <x:mergeCell ref="B25:F26"/>
    <x:mergeCell ref="B28:F28"/>
    <x:mergeCell ref="H28:K28"/>
    <x:mergeCell ref="B29:F29"/>
    <x:mergeCell ref="B30:F30"/>
    <x:mergeCell ref="B36:K37"/>
    <x:mergeCell ref="B39:K39"/>
    <x:mergeCell ref="B41:K41"/>
    <x:mergeCell ref="H29:K29"/>
    <x:mergeCell ref="H30:K30"/>
    <x:mergeCell ref="H31:K31"/>
    <x:mergeCell ref="H32:K32"/>
    <x:mergeCell ref="H33:K33"/>
    <x:mergeCell ref="B33:F34"/>
    <x:mergeCell ref="B31:F31"/>
    <x:mergeCell ref="B32:F32"/>
  </x:mergeCells>
  <x:hyperlinks>
    <x:hyperlink ref="B12" location="'Selector'!B1"/>
    <x:hyperlink ref="B22" location="'Alianza'!B1"/>
    <x:hyperlink ref="F22" location="'Horda'!B1"/>
    <x:hyperlink ref="J22" location="'Raciales'!B1"/>
    <x:hyperlink ref="B25" location="'Metodología'!B1"/>
  </x:hyperlinks>
  <x:pageMargins left="0.7" right="0.7" top="0.75" bottom="0.75" header="0.3" footer="0.3"/>
</x:worksheet>
</file>

<file path=xl/worksheets/sheet2.xml><?xml version="1.0" encoding="utf-8"?>
<x:worksheet xmlns:x="http://schemas.openxmlformats.org/spreadsheetml/2006/main">
  <x:sheetPr>
    <x:tabColor rgb="FFC6A45C"/>
  </x:sheetPr>
  <x:sheetViews>
    <x:sheetView showGridLines="0" workbookViewId="0">
      <x:pane ySplit="1" topLeftCell="A2" activePane="bottomLeft" state="frozen"/>
    </x:sheetView>
  </x:sheetViews>
  <x:sheetFormatPr baseColWidth="10" defaultRowHeight="14.399999618530273"/>
  <x:cols>
    <x:col min="1" max="1" width="4.109375" customWidth="1"/>
    <x:col min="2" max="2" width="33.33203125" customWidth="1"/>
    <x:col min="3" max="3" width="70.44140625" customWidth="1"/>
    <x:col min="4" max="4" width="3.44140625" customWidth="1"/>
    <x:col min="5" max="5" width="28.5546875" customWidth="1"/>
    <x:col min="6" max="6" width="3.44140625" customWidth="1"/>
    <x:col min="10" max="13" width="0" hidden="1" customWidth="1"/>
  </x:cols>
  <x:sheetData>
    <x:row r="1" ht="45.900001525878906" customHeight="1">
      <x:c r="A1" s="1"/>
      <x:c r="B1" s="61" t="s">
        <x:v>29</x:v>
      </x:c>
      <x:c r="C1" s="61"/>
      <x:c r="D1" s="61"/>
      <x:c r="E1" s="61"/>
      <x:c r="F1" s="61"/>
      <x:c r="G1" s="1"/>
      <x:c r="H1" s="1"/>
      <x:c r="I1" s="1"/>
      <x:c r="J1" s="1"/>
      <x:c r="K1" s="1"/>
      <x:c r="L1" s="1"/>
    </x:row>
    <x:row r="2" ht="21.899999618530273" customHeight="1">
      <x:c r="A2" s="1"/>
      <x:c r="B2" s="62" t="s">
        <x:v>30</x:v>
      </x:c>
      <x:c r="C2" s="62"/>
      <x:c r="D2" s="62"/>
      <x:c r="E2" s="62"/>
      <x:c r="F2" s="62"/>
      <x:c r="G2" s="1"/>
      <x:c r="H2" s="1"/>
      <x:c r="I2" s="1"/>
      <x:c r="J2" s="1"/>
      <x:c r="K2" s="1"/>
      <x:c r="L2" s="1"/>
    </x:row>
    <x:row r="3" ht="21.899999618530273" customHeight="1">
      <x:c r="A3" s="1"/>
      <x:c r="B3" s="1"/>
      <x:c r="C3" s="1"/>
      <x:c r="D3" s="1"/>
      <x:c r="E3" s="1"/>
      <x:c r="F3" s="1"/>
      <x:c r="G3" s="1"/>
      <x:c r="H3" s="1"/>
      <x:c r="I3" s="1"/>
      <x:c r="J3" s="1" t="s">
        <x:v>31</x:v>
      </x:c>
      <x:c r="K3" s="1" t="s">
        <x:v>32</x:v>
      </x:c>
      <x:c r="L3" s="1" t="s">
        <x:v>33</x:v>
      </x:c>
      <x:c r="M3" t="s">
        <x:v>34</x:v>
      </x:c>
    </x:row>
    <x:row r="4" ht="33.900001525878906" customHeight="1">
      <x:c r="A4" s="1"/>
      <x:c r="B4" s="3" t="s">
        <x:v>35</x:v>
      </x:c>
      <x:c r="C4" s="9" t="s">
        <x:v>36</x:v>
      </x:c>
      <x:c r="D4" s="3"/>
      <x:c r="E4" s="10" t="s">
        <x:v>37</x:v>
      </x:c>
      <x:c r="F4" s="3"/>
      <x:c r="G4" s="1"/>
      <x:c r="H4" s="1"/>
      <x:c r="I4" s="1"/>
      <x:c r="J4" s="1" t="s">
        <x:v>36</x:v>
      </x:c>
      <x:c r="K4" s="1" t="str" cm="1">
        <x:f t="array" ref="K4:K12">IF($C$4="Alianza",_xlfn._xlws.SORT(_xlfn.UNIQUE(tblAlianza[Clase])),IF($C$4="Horda",_xlfn._xlws.SORT(_xlfn.UNIQUE(tblHorda[Clase])),"Selecciona facción"))</x:f>
        <x:v>Brujo</x:v>
      </x:c>
      <x:c r="L4" s="1" t="str" cm="1">
        <x:f t="array" ref="L4:L6">IF($C$4="Alianza",_xlfn._xlws.SORT(_xlfn.UNIQUE(_xlfn._xlws.FILTER(tblAlianza[Especialización],tblAlianza[Clase]=$C$5,"Selecciona clase"))),IF($C$4="Horda",_xlfn._xlws.SORT(_xlfn.UNIQUE(_xlfn._xlws.FILTER(tblHorda[Especialización],tblHorda[Clase]=$C$5,"Selecciona clase"))),"Selecciona facción"))</x:f>
        <x:v>Disciplina</x:v>
      </x:c>
      <x:c r="M4">
        <x:f>IF($C$4="Alianza",COUNTIFS(tblAlianza[Clase],$C$5,tblAlianza[Especialización],$C$6),IF($C$4="Horda",COUNTIFS(tblHorda[Clase],$C$5,tblHorda[Especialización],$C$6),0))</x:f>
        <x:v>1</x:v>
      </x:c>
    </x:row>
    <x:row r="5" ht="33.900001525878906" customHeight="1">
      <x:c r="A5" s="1"/>
      <x:c r="B5" s="3" t="s">
        <x:v>38</x:v>
      </x:c>
      <x:c r="C5" s="9" t="s">
        <x:v>39</x:v>
      </x:c>
      <x:c r="D5" s="3"/>
      <x:c r="E5" s="10" t="s">
        <x:v>40</x:v>
      </x:c>
      <x:c r="F5" s="3"/>
      <x:c r="G5" s="1"/>
      <x:c r="H5" s="1"/>
      <x:c r="I5" s="1"/>
      <x:c r="J5" s="1" t="s">
        <x:v>41</x:v>
      </x:c>
      <x:c r="K5" s="1" t="str">
        <x:v>Cazador</x:v>
      </x:c>
      <x:c r="L5" s="1" t="str">
        <x:v>Sagrado</x:v>
      </x:c>
    </x:row>
    <x:row r="6" ht="33.900001525878906" customHeight="1">
      <x:c r="A6" s="1"/>
      <x:c r="B6" s="3" t="s">
        <x:v>42</x:v>
      </x:c>
      <x:c r="C6" s="9" t="s">
        <x:v>43</x:v>
      </x:c>
      <x:c r="D6" s="3"/>
      <x:c r="E6" s="10" t="s">
        <x:v>44</x:v>
      </x:c>
      <x:c r="F6" s="3"/>
      <x:c r="G6" s="1"/>
      <x:c r="H6" s="1"/>
      <x:c r="I6" s="1"/>
      <x:c r="J6" s="1"/>
      <x:c r="K6" s="1" t="str">
        <x:v>Chamán</x:v>
      </x:c>
      <x:c r="L6" s="1" t="str">
        <x:v>Sombras</x:v>
      </x:c>
    </x:row>
    <x:row r="7" ht="21.899999618530273" customHeight="1">
      <x:c r="A7" s="1"/>
      <x:c r="B7" s="3"/>
      <x:c r="C7" s="3"/>
      <x:c r="D7" s="3"/>
      <x:c r="E7" s="3"/>
      <x:c r="F7" s="3"/>
      <x:c r="G7" s="1"/>
      <x:c r="H7" s="1"/>
      <x:c r="I7" s="1"/>
      <x:c r="J7" s="1"/>
      <x:c r="K7" s="1" t="str">
        <x:v>Druida</x:v>
      </x:c>
      <x:c r="L7" s="1"/>
    </x:row>
    <x:row r="8" ht="21.899999618530273" customHeight="1">
      <x:c r="A8" s="1"/>
      <x:c r="B8" s="3" t="s">
        <x:v>45</x:v>
      </x:c>
      <x:c r="C8" s="11" t="str">
        <x:f>IF($M$4=1,"Selección válida · ficha actualizada",IF($M$4&gt;1,"Revisar datos: combinación duplicada","Vuelve a elegir clase y especialización"))</x:f>
        <x:v>Selección válida · ficha actualizada</x:v>
      </x:c>
      <x:c r="D8" s="3"/>
      <x:c r="E8" s="3"/>
      <x:c r="F8" s="3"/>
      <x:c r="G8" s="1"/>
      <x:c r="H8" s="1"/>
      <x:c r="I8" s="1"/>
      <x:c r="J8" s="1"/>
      <x:c r="K8" s="1" t="str">
        <x:v>Guerrero</x:v>
      </x:c>
      <x:c r="L8" s="1"/>
    </x:row>
    <x:row r="9" ht="21.899999618530273" customHeight="1">
      <x:c r="A9" s="1"/>
      <x:c r="B9" s="3"/>
      <x:c r="C9" s="3"/>
      <x:c r="D9" s="3"/>
      <x:c r="E9" s="3"/>
      <x:c r="F9" s="3"/>
      <x:c r="G9" s="1"/>
      <x:c r="H9" s="1"/>
      <x:c r="I9" s="1"/>
      <x:c r="J9" s="1"/>
      <x:c r="K9" s="1" t="str">
        <x:v>Mago</x:v>
      </x:c>
      <x:c r="L9" s="1"/>
    </x:row>
    <x:row r="10" ht="21.899999618530273" customHeight="1">
      <x:c r="A10" s="1"/>
      <x:c r="B10" s="63" t="s">
        <x:v>46</x:v>
      </x:c>
      <x:c r="C10" s="63"/>
      <x:c r="D10" s="3"/>
      <x:c r="E10" s="12" t="s">
        <x:v>47</x:v>
      </x:c>
      <x:c r="F10" s="3"/>
      <x:c r="G10" s="1"/>
      <x:c r="H10" s="1"/>
      <x:c r="I10" s="1"/>
      <x:c r="J10" s="1"/>
      <x:c r="K10" s="1" t="str">
        <x:v>Paladín</x:v>
      </x:c>
      <x:c r="L10" s="1"/>
    </x:row>
    <x:row r="11" ht="51.900001525878906" customHeight="1">
      <x:c r="A11" s="1"/>
      <x:c r="B11" s="5" t="s">
        <x:v>48</x:v>
      </x:c>
      <x:c r="C11" s="13" t="str" cm="1">
        <x:f t="array" ref="C11">IF($M$4&lt;&gt;1,"Revisa selección",IF($C$4="Alianza",_xlfn.XLOOKUP(1,(tblAlianza[Clase]=$C$5)*(tblAlianza[Especialización]=$C$6),tblAlianza[Raza recomendada],"Sin datos"),_xlfn.XLOOKUP(1,(tblHorda[Clase]=$C$5)*(tblHorda[Especialización]=$C$6),tblHorda[Raza recomendada],"Sin datos")))</x:f>
        <x:v>Gnomo</x:v>
      </x:c>
      <x:c r="D11" s="3"/>
      <x:c r="E11" s="27" t="str" cm="1">
        <x:f t="array" ref="E11">IF($M$4&lt;&gt;1,"No disponible",IF($C$4="Alianza",_xlfn.XLOOKUP(1,(tblAlianza[Clase]=$C$5)*(tblAlianza[Especialización]=$C$6),tblAlianza[Prioridad],"Sin datos"),_xlfn.XLOOKUP(1,(tblHorda[Clase]=$C$5)*(tblHorda[Especialización]=$C$6),tblHorda[Prioridad],"Sin datos")))</x:f>
        <x:v>★★★★★</x:v>
      </x:c>
      <x:c r="F11" s="3"/>
      <x:c r="G11" s="1"/>
      <x:c r="H11" s="1"/>
      <x:c r="I11" s="1"/>
      <x:c r="J11" s="1"/>
      <x:c r="K11" s="1" t="str">
        <x:v>Pícaro</x:v>
      </x:c>
      <x:c r="L11" s="1"/>
    </x:row>
    <x:row r="12" ht="21.899999618530273" customHeight="1">
      <x:c r="A12" s="1"/>
      <x:c r="B12" s="3"/>
      <x:c r="C12" s="3"/>
      <x:c r="D12" s="3"/>
      <x:c r="E12" s="3"/>
      <x:c r="F12" s="3"/>
      <x:c r="G12" s="1"/>
      <x:c r="H12" s="1"/>
      <x:c r="I12" s="1"/>
      <x:c r="J12" s="1"/>
      <x:c r="K12" s="1" t="str">
        <x:v>Sacerdote</x:v>
      </x:c>
      <x:c r="L12" s="1"/>
    </x:row>
    <x:row r="13" ht="38.099998474121094" customHeight="1">
      <x:c r="A13" s="1"/>
      <x:c r="B13" s="5" t="s">
        <x:v>49</x:v>
      </x:c>
      <x:c r="C13" s="14" t="str" cm="1">
        <x:f t="array" ref="C13">IF($M$4&lt;&gt;1,"No disponible",_xlfn.LET(_xlpm.alt,IF($C$4="Alianza",_xlfn.XLOOKUP(1,(tblAlianza[Clase]=$C$5)*(tblAlianza[Especialización]=$C$6),tblAlianza[Alternativa],"Sin datos"),_xlfn.XLOOKUP(1,(tblHorda[Clase]=$C$5)*(tblHorda[Especialización]=$C$6),tblHorda[Alternativa],"Sin datos")),IF(_xlpm.alt="-","Sin alternativa indicada",_xlpm.alt)))</x:f>
        <x:v>Humano</x:v>
      </x:c>
      <x:c r="D13" s="3"/>
      <x:c r="E13" s="15" t="s">
        <x:v>50</x:v>
      </x:c>
      <x:c r="F13" s="3"/>
      <x:c r="G13" s="1"/>
      <x:c r="H13" s="1"/>
      <x:c r="I13" s="1"/>
      <x:c r="J13" s="1"/>
      <x:c r="K13" s="1"/>
      <x:c r="L13" s="1"/>
    </x:row>
    <x:row r="14" ht="54.900001525878906" customHeight="1">
      <x:c r="A14" s="1"/>
      <x:c r="B14" s="24" t="s">
        <x:v>51</x:v>
      </x:c>
      <x:c r="C14" s="25" t="str" cm="1">
        <x:f t="array" ref="C14">IF($M$4&lt;&gt;1,"Revisa la selección para ver el motivo.",IF($C$4="Alianza",_xlfn.XLOOKUP(1,(tblAlianza[Clase]=$C$5)*(tblAlianza[Especialización]=$C$6),tblAlianza[Motivo principal],"Sin motivo"),_xlfn.XLOOKUP(1,(tblHorda[Clase]=$C$5)*(tblHorda[Especialización]=$C$6),tblHorda[Motivo principal],"Sin motivo")))</x:f>
        <x:v>Reposicionarse sin abandonar la presión sostenida.</x:v>
      </x:c>
      <x:c r="D14" s="3"/>
      <x:c r="E14" s="28" t="str">
        <x:f>IF($M$4&lt;&gt;1,"—",_xlfn.XLOOKUP($C$11,tblRaciales[Raza],tblRaciales[Escala de utilidad],"Sin nota"))</x:f>
        <x:v>★★★★★</x:v>
      </x:c>
      <x:c r="F14" s="3"/>
      <x:c r="G14" s="1"/>
      <x:c r="H14" s="1"/>
      <x:c r="I14" s="1"/>
      <x:c r="J14" s="1"/>
      <x:c r="K14" s="1"/>
      <x:c r="L14" s="1"/>
    </x:row>
    <x:row r="15" ht="116.0999984741211" customHeight="1">
      <x:c r="A15" s="1"/>
      <x:c r="B15" s="5" t="s">
        <x:v>52</x:v>
      </x:c>
      <x:c r="C15" s="26" t="str" cm="1">
        <x:f t="array" ref="C15">IF($M$4&lt;&gt;1,"Selecciona una combinación incluida en la base.",_xlfn.LET(_xlpm.txt,IF($C$4="Alianza",_xlfn.XLOOKUP(1,(tblAlianza[Clase]=$C$5)*(tblAlianza[Especialización]=$C$6),tblAlianza[Explicación],"Sin datos"),_xlfn.XLOOKUP(1,(tblHorda[Clase]=$C$5)*(tblHorda[Especialización]=$C$6),tblHorda[Explicación],"Sin datos")),IF(_xlpm.txt&lt;&gt;"Igual",_xlpm.txt,IF(AND($C$4="Alianza",$C$5="Brujo"),"Romper stun es clave (mismo criterio que Aflicción)",IF(AND($C$4="Horda",$C$5="Guerrero"),"Hardiness domina (mismo criterio que Armas)",IF(AND($C$4="Horda",$C$5="Sacerdote"),"Hex of Weakness (mismo criterio que Disciplina)","Mismo criterio que la fila anterior de la tabla"))))))</x:f>
        <x:v>Sombras mantiene presión mientras conserva distancia de quienes pueden cortarle los lanzamientos. Escape Artist libera de raíces y ralentizaciones para abandonar una posición bloqueada y recuperar espacio. Frente a Humano, importa más resolver ese desplazamiento que romper un aturdimiento; alejarse sin cuidar el alcance puede desconectarlo de sus aliados. Pierde ventaja cuando no existe una ruta de salida.</x:v>
      </x:c>
      <x:c r="D15" s="3"/>
      <x:c r="E15" s="3"/>
      <x:c r="F15" s="3"/>
      <x:c r="G15" s="1"/>
      <x:c r="H15" s="1"/>
      <x:c r="I15" s="1"/>
      <x:c r="J15" s="1"/>
      <x:c r="K15" s="1"/>
      <x:c r="L15" s="1"/>
    </x:row>
    <x:row r="16" ht="27.899999618530273" customHeight="1">
      <x:c r="A16" s="1"/>
      <x:c r="B16" s="3"/>
      <x:c r="C16" s="3"/>
      <x:c r="D16" s="3"/>
      <x:c r="E16" s="16" t="s">
        <x:v>53</x:v>
      </x:c>
      <x:c r="F16" s="3"/>
      <x:c r="G16" s="1"/>
      <x:c r="H16" s="1"/>
      <x:c r="I16" s="1"/>
      <x:c r="J16" s="1"/>
      <x:c r="K16" s="1"/>
      <x:c r="L16" s="1"/>
    </x:row>
    <x:row r="17" ht="116.0999984741211" customHeight="1">
      <x:c r="A17" s="1"/>
      <x:c r="B17" s="5" t="s">
        <x:v>54</x:v>
      </x:c>
      <x:c r="C17" s="26" t="str">
        <x:f>IF($M$4&lt;&gt;1,"No disponible",_xlfn.XLOOKUP($C$11,tblRaciales[Raza],tblRaciales[Fortaleza principal],"Raza sin ficha racial"))</x:f>
        <x:v>• Recupera movimiento frente a raíces y ralentizaciones.
• Ayuda a recuperar alcance sobre el objetivo.
• Facilita regresar a la cobertura aliada.
• Permite acompañar un frente en movimiento.</x:v>
      </x:c>
      <x:c r="D17" s="3"/>
      <x:c r="E17" s="29" t="str">
        <x:f>IF($M$4&lt;&gt;1,"No disponible",_xlfn.XLOOKUP($C$11,tblRaciales[Raza],tblRaciales[Comentarios],"Sin comentario"))</x:f>
        <x:v>Escape Artist permite recuperar movimiento frente a raíces y ralentizaciones. Cada especialización aprovecha ese desplazamiento para volver al contacto, ganar distancia o replegarse.</x:v>
      </x:c>
      <x:c r="F17" s="3"/>
      <x:c r="G17" s="1"/>
      <x:c r="H17" s="1"/>
      <x:c r="I17" s="1"/>
      <x:c r="J17" s="1"/>
      <x:c r="K17" s="1"/>
      <x:c r="L17" s="1"/>
    </x:row>
    <x:row r="18" ht="20.100000381469727" customHeight="1">
      <x:c r="A18" s="1"/>
      <x:c r="B18" s="3"/>
      <x:c r="C18" s="3"/>
      <x:c r="D18" s="3"/>
      <x:c r="E18" s="3"/>
      <x:c r="F18" s="3"/>
      <x:c r="G18" s="1"/>
      <x:c r="H18" s="1"/>
      <x:c r="I18" s="1"/>
      <x:c r="J18" s="1"/>
      <x:c r="K18" s="1"/>
      <x:c r="L18" s="1"/>
    </x:row>
    <x:row r="19" ht="92.0999984741211" customHeight="1">
      <x:c r="A19" s="1"/>
      <x:c r="B19" s="5" t="s">
        <x:v>55</x:v>
      </x:c>
      <x:c r="C19" s="26" t="str">
        <x:f>IF($M$4&lt;&gt;1,"No disponible",_xlfn.XLOOKUP($C$11,tblRaciales[Raza],tblRaciales[Debilidad],"Raza sin ficha racial"))</x:f>
        <x:v>• No elimina aturdimientos, miedo ni silencios.
• No mitiga el daño recibido.
• Necesita una ruta de salida disponible.</x:v>
      </x:c>
      <x:c r="D19" s="3"/>
      <x:c r="E19" s="31" t="s">
        <x:v>56</x:v>
      </x:c>
      <x:c r="F19" s="3"/>
      <x:c r="G19" s="1"/>
      <x:c r="H19" s="1"/>
      <x:c r="I19" s="1"/>
      <x:c r="J19" s="1"/>
      <x:c r="K19" s="1"/>
      <x:c r="L19" s="1"/>
    </x:row>
    <x:row r="20" ht="21.899999618530273" customHeight="1">
      <x:c r="A20" s="1"/>
      <x:c r="B20" s="3"/>
      <x:c r="C20" s="3"/>
      <x:c r="D20" s="3"/>
      <x:c r="E20" s="3"/>
      <x:c r="F20" s="3"/>
      <x:c r="G20" s="1"/>
      <x:c r="H20" s="1"/>
      <x:c r="I20" s="1"/>
      <x:c r="J20" s="1"/>
      <x:c r="K20" s="1"/>
      <x:c r="L20" s="1"/>
    </x:row>
    <x:row r="21" ht="63.900001525878906" customHeight="1">
      <x:c r="A21" s="1"/>
      <x:c r="B21" s="5" t="s">
        <x:v>57</x:v>
      </x:c>
      <x:c r="C21" s="30" t="str">
        <x:f>IF($M$4=1,"Base validada sin cambios de raza. La prioridad corresponde a la especialización; la utilidad racial resume su perfil general. Ambas usan cinco estrellas.","Elige facción, clase y especialización en ese orden. La ficha solo se muestra para combinaciones incluidas en la base.")</x:f>
        <x:v>Base validada sin cambios de raza. La prioridad corresponde a la especialización; la utilidad racial resume su perfil general. Ambas usan cinco estrellas.</x:v>
      </x:c>
      <x:c r="D21" s="3"/>
      <x:c r="E21" s="3"/>
      <x:c r="F21" s="3"/>
      <x:c r="G21" s="1"/>
      <x:c r="H21" s="1"/>
      <x:c r="I21" s="1"/>
      <x:c r="J21" s="1"/>
      <x:c r="K21" s="1"/>
      <x:c r="L21" s="1"/>
    </x:row>
    <x:row r="22" ht="21.899999618530273" customHeight="1">
      <x:c r="A22" s="1"/>
      <x:c r="B22" s="3"/>
      <x:c r="C22" s="3"/>
      <x:c r="D22" s="3"/>
      <x:c r="E22" s="3"/>
      <x:c r="F22" s="3"/>
      <x:c r="G22" s="1"/>
      <x:c r="H22" s="1"/>
      <x:c r="I22" s="1"/>
      <x:c r="J22" s="1"/>
      <x:c r="K22" s="1"/>
      <x:c r="L22" s="1"/>
    </x:row>
    <x:row r="23" ht="21.899999618530273" customHeight="1">
      <x:c r="A23" s="1"/>
      <x:c r="B23" s="64" t="s">
        <x:v>58</x:v>
      </x:c>
      <x:c r="C23" s="64"/>
      <x:c r="D23" s="64"/>
      <x:c r="E23" s="64"/>
      <x:c r="F23" s="64"/>
      <x:c r="G23" s="1"/>
      <x:c r="H23" s="1"/>
      <x:c r="I23" s="1"/>
      <x:c r="J23" s="1"/>
      <x:c r="K23" s="1"/>
      <x:c r="L23" s="1"/>
    </x:row>
    <x:row r="24" ht="21.899999618530273" customHeight="1">
      <x:c r="A24" s="1"/>
      <x:c r="B24" s="64"/>
      <x:c r="C24" s="64"/>
      <x:c r="D24" s="64"/>
      <x:c r="E24" s="64"/>
      <x:c r="F24" s="64"/>
      <x:c r="G24" s="1"/>
      <x:c r="H24" s="1"/>
      <x:c r="I24" s="1"/>
      <x:c r="J24" s="1"/>
      <x:c r="K24" s="1"/>
      <x:c r="L24" s="1"/>
    </x:row>
    <x:row r="25" ht="21.899999618530273" customHeight="1">
      <x:c r="A25" s="1"/>
      <x:c r="B25" s="1"/>
      <x:c r="C25" s="1"/>
      <x:c r="D25" s="1"/>
      <x:c r="E25" s="1"/>
      <x:c r="F25" s="1"/>
      <x:c r="G25" s="1"/>
      <x:c r="H25" s="1"/>
      <x:c r="I25" s="1"/>
      <x:c r="J25" s="1"/>
      <x:c r="K25" s="1"/>
      <x:c r="L25" s="1"/>
    </x:row>
    <x:row r="26" ht="21.899999618530273" customHeight="1">
      <x:c r="A26" s="1"/>
      <x:c r="B26" s="6" t="s">
        <x:v>59</x:v>
      </x:c>
      <x:c r="C26" s="6" t="s">
        <x:v>60</x:v>
      </x:c>
      <x:c r="D26" s="1"/>
      <x:c r="E26" s="6" t="s">
        <x:v>61</x:v>
      </x:c>
      <x:c r="F26" s="1"/>
      <x:c r="G26" s="1"/>
      <x:c r="H26" s="1"/>
      <x:c r="I26" s="1"/>
      <x:c r="J26" s="1"/>
      <x:c r="K26" s="1"/>
      <x:c r="L26" s="1"/>
    </x:row>
    <x:row r="27" ht="21.899999618530273" customHeight="1">
      <x:c r="A27" s="1"/>
      <x:c r="B27" s="1"/>
      <x:c r="C27" s="1"/>
      <x:c r="D27" s="1"/>
      <x:c r="E27" s="1"/>
      <x:c r="F27" s="1"/>
      <x:c r="G27" s="1"/>
      <x:c r="H27" s="1"/>
      <x:c r="I27" s="1"/>
      <x:c r="J27" s="1"/>
      <x:c r="K27" s="1"/>
      <x:c r="L27" s="1"/>
    </x:row>
    <x:row r="28" ht="21.899999618530273" customHeight="1">
      <x:c r="A28" s="1"/>
      <x:c r="B28" s="65" t="s">
        <x:v>62</x:v>
      </x:c>
      <x:c r="C28" s="65"/>
      <x:c r="D28" s="65"/>
      <x:c r="E28" s="65"/>
      <x:c r="F28" s="65"/>
      <x:c r="G28" s="1"/>
      <x:c r="H28" s="1"/>
      <x:c r="I28" s="1"/>
      <x:c r="J28" s="1"/>
      <x:c r="K28" s="1"/>
      <x:c r="L28" s="1"/>
    </x:row>
    <x:row r="29" ht="21.899999618530273" customHeight="1">
      <x:c r="A29" s="1"/>
      <x:c r="B29" s="1"/>
      <x:c r="C29" s="1"/>
      <x:c r="D29" s="1"/>
      <x:c r="E29" s="1"/>
      <x:c r="F29" s="1"/>
      <x:c r="G29" s="1"/>
      <x:c r="H29" s="1"/>
      <x:c r="I29" s="1"/>
      <x:c r="J29" s="1"/>
      <x:c r="K29" s="1"/>
      <x:c r="L29" s="1"/>
    </x:row>
    <x:row r="30" ht="21.899999618530273" customHeight="1">
      <x:c r="A30" s="1"/>
      <x:c r="B30" s="1"/>
      <x:c r="C30" s="1"/>
      <x:c r="D30" s="1"/>
      <x:c r="E30" s="1"/>
      <x:c r="F30" s="1"/>
      <x:c r="G30" s="1"/>
      <x:c r="H30" s="1"/>
      <x:c r="I30" s="1"/>
      <x:c r="J30" s="1"/>
      <x:c r="K30" s="1"/>
      <x:c r="L30" s="1"/>
    </x:row>
    <x:row r="31" ht="21.899999618530273" customHeight="1">
      <x:c r="A31" s="1"/>
      <x:c r="B31" s="1"/>
      <x:c r="C31" s="1"/>
      <x:c r="D31" s="1"/>
      <x:c r="E31" s="1"/>
      <x:c r="F31" s="1"/>
      <x:c r="G31" s="1"/>
      <x:c r="H31" s="1"/>
      <x:c r="I31" s="1"/>
      <x:c r="J31" s="1"/>
      <x:c r="K31" s="1"/>
      <x:c r="L31" s="1"/>
    </x:row>
    <x:row r="32" ht="21.899999618530273" customHeight="1">
      <x:c r="A32" s="1"/>
      <x:c r="B32" s="1"/>
      <x:c r="C32" s="1"/>
      <x:c r="D32" s="1"/>
      <x:c r="E32" s="1"/>
      <x:c r="F32" s="1"/>
      <x:c r="G32" s="1"/>
      <x:c r="H32" s="1"/>
      <x:c r="I32" s="1"/>
      <x:c r="J32" s="1"/>
      <x:c r="K32" s="1"/>
      <x:c r="L32" s="1"/>
    </x:row>
    <x:row r="33" ht="21.899999618530273" customHeight="1">
      <x:c r="A33" s="1"/>
      <x:c r="B33" s="1"/>
      <x:c r="C33" s="1"/>
      <x:c r="D33" s="1"/>
      <x:c r="E33" s="1"/>
      <x:c r="F33" s="1"/>
      <x:c r="G33" s="1"/>
      <x:c r="H33" s="1"/>
      <x:c r="I33" s="1"/>
      <x:c r="J33" s="1"/>
      <x:c r="K33" s="1"/>
      <x:c r="L33" s="1"/>
    </x:row>
    <x:row r="34" ht="21.899999618530273" customHeight="1">
      <x:c r="A34" s="1"/>
      <x:c r="B34" s="1"/>
      <x:c r="C34" s="1"/>
      <x:c r="D34" s="1"/>
      <x:c r="E34" s="1"/>
      <x:c r="F34" s="1"/>
      <x:c r="G34" s="1"/>
      <x:c r="H34" s="1"/>
      <x:c r="I34" s="1"/>
      <x:c r="J34" s="1"/>
      <x:c r="K34" s="1"/>
      <x:c r="L34" s="1"/>
    </x:row>
    <x:row r="35" ht="21.899999618530273" customHeight="1">
      <x:c r="A35" s="1"/>
      <x:c r="B35" s="1"/>
      <x:c r="C35" s="1"/>
      <x:c r="D35" s="1"/>
      <x:c r="E35" s="1"/>
      <x:c r="F35" s="1"/>
      <x:c r="G35" s="1"/>
      <x:c r="H35" s="1"/>
      <x:c r="I35" s="1"/>
      <x:c r="J35" s="1"/>
      <x:c r="K35" s="1"/>
      <x:c r="L35" s="1"/>
    </x:row>
    <x:row r="36" ht="21.899999618530273" customHeight="1">
      <x:c r="A36" s="1"/>
      <x:c r="B36" s="1"/>
      <x:c r="C36" s="1"/>
      <x:c r="D36" s="1"/>
      <x:c r="E36" s="1"/>
      <x:c r="F36" s="1"/>
      <x:c r="G36" s="1"/>
      <x:c r="H36" s="1"/>
      <x:c r="I36" s="1"/>
      <x:c r="J36" s="1"/>
      <x:c r="K36" s="1"/>
      <x:c r="L36" s="1"/>
    </x:row>
    <x:row r="37" ht="21.899999618530273" customHeight="1">
      <x:c r="A37" s="1"/>
      <x:c r="B37" s="1"/>
      <x:c r="C37" s="1"/>
      <x:c r="D37" s="1"/>
      <x:c r="E37" s="1"/>
      <x:c r="F37" s="1"/>
      <x:c r="G37" s="1"/>
      <x:c r="H37" s="1"/>
      <x:c r="I37" s="1"/>
      <x:c r="J37" s="1"/>
      <x:c r="K37" s="1"/>
      <x:c r="L37" s="1"/>
    </x:row>
    <x:row r="38" ht="21.899999618530273" customHeight="1">
      <x:c r="A38" s="1"/>
      <x:c r="B38" s="1"/>
      <x:c r="C38" s="1"/>
      <x:c r="D38" s="1"/>
      <x:c r="E38" s="1"/>
      <x:c r="F38" s="1"/>
      <x:c r="G38" s="1"/>
      <x:c r="H38" s="1"/>
      <x:c r="I38" s="1"/>
      <x:c r="J38" s="1"/>
      <x:c r="K38" s="1"/>
      <x:c r="L38" s="1"/>
    </x:row>
    <x:row r="39" ht="21.899999618530273" customHeight="1">
      <x:c r="A39" s="1"/>
      <x:c r="B39" s="1"/>
      <x:c r="C39" s="1"/>
      <x:c r="D39" s="1"/>
      <x:c r="E39" s="1"/>
      <x:c r="F39" s="1"/>
      <x:c r="G39" s="1"/>
      <x:c r="H39" s="1"/>
      <x:c r="I39" s="1"/>
      <x:c r="J39" s="1"/>
      <x:c r="K39" s="1"/>
      <x:c r="L39" s="1"/>
    </x:row>
    <x:row r="40" ht="21.899999618530273" customHeight="1">
      <x:c r="A40" s="1"/>
      <x:c r="B40" s="1"/>
      <x:c r="C40" s="1"/>
      <x:c r="D40" s="1"/>
      <x:c r="E40" s="1"/>
      <x:c r="F40" s="1"/>
      <x:c r="G40" s="1"/>
      <x:c r="H40" s="1"/>
      <x:c r="I40" s="1"/>
      <x:c r="J40" s="1"/>
      <x:c r="K40" s="1"/>
      <x:c r="L40" s="1"/>
    </x:row>
    <x:row r="41" ht="21.899999618530273" customHeight="1">
      <x:c r="A41" s="1"/>
      <x:c r="B41" s="1"/>
      <x:c r="C41" s="1"/>
      <x:c r="D41" s="1"/>
      <x:c r="E41" s="1"/>
      <x:c r="F41" s="1"/>
      <x:c r="G41" s="1"/>
      <x:c r="H41" s="1"/>
      <x:c r="I41" s="1"/>
      <x:c r="J41" s="1"/>
      <x:c r="K41" s="1"/>
      <x:c r="L41" s="1"/>
    </x:row>
    <x:row r="42" ht="21.899999618530273" customHeight="1">
      <x:c r="A42" s="1"/>
      <x:c r="B42" s="1"/>
      <x:c r="C42" s="1"/>
      <x:c r="D42" s="1"/>
      <x:c r="E42" s="1"/>
      <x:c r="F42" s="1"/>
      <x:c r="G42" s="1"/>
      <x:c r="H42" s="1"/>
      <x:c r="I42" s="1"/>
      <x:c r="J42" s="1"/>
      <x:c r="K42" s="1"/>
      <x:c r="L42" s="1"/>
    </x:row>
    <x:row r="43" ht="21.899999618530273" customHeight="1">
      <x:c r="A43" s="1"/>
      <x:c r="B43" s="1"/>
      <x:c r="C43" s="1"/>
      <x:c r="D43" s="1"/>
      <x:c r="E43" s="1"/>
      <x:c r="F43" s="1"/>
      <x:c r="G43" s="1"/>
      <x:c r="H43" s="1"/>
      <x:c r="I43" s="1"/>
      <x:c r="J43" s="1"/>
      <x:c r="K43" s="1"/>
      <x:c r="L43" s="1"/>
    </x:row>
    <x:row r="44" ht="21.899999618530273" customHeight="1">
      <x:c r="A44" s="1"/>
      <x:c r="B44" s="1"/>
      <x:c r="C44" s="1"/>
      <x:c r="D44" s="1"/>
      <x:c r="E44" s="1"/>
      <x:c r="F44" s="1"/>
      <x:c r="G44" s="1"/>
      <x:c r="H44" s="1"/>
      <x:c r="I44" s="1"/>
      <x:c r="J44" s="1"/>
      <x:c r="K44" s="1"/>
      <x:c r="L44" s="1"/>
    </x:row>
    <x:row r="45" ht="21.899999618530273" customHeight="1">
      <x:c r="A45" s="1"/>
      <x:c r="B45" s="1"/>
      <x:c r="C45" s="1"/>
      <x:c r="D45" s="1"/>
      <x:c r="E45" s="1"/>
      <x:c r="F45" s="1"/>
      <x:c r="G45" s="1"/>
      <x:c r="H45" s="1"/>
      <x:c r="I45" s="1"/>
      <x:c r="J45" s="1"/>
      <x:c r="K45" s="1"/>
      <x:c r="L45" s="1"/>
    </x:row>
  </x:sheetData>
  <x:mergeCells>
    <x:mergeCell ref="B1:F1"/>
    <x:mergeCell ref="B2:F2"/>
    <x:mergeCell ref="B10:C10"/>
    <x:mergeCell ref="B23:F24"/>
    <x:mergeCell ref="B28:F28"/>
  </x:mergeCells>
  <x:conditionalFormatting sqref="C8:C8">
    <x:cfRule type="expression" dxfId="3" priority="1">
      <x:formula>$M$4=1</x:formula>
    </x:cfRule>
    <x:cfRule type="expression" dxfId="2" priority="2">
      <x:formula>$M$4&lt;&gt;1</x:formula>
    </x:cfRule>
  </x:conditionalFormatting>
  <x:dataValidations count="3">
    <x:dataValidation type="list" showInputMessage="1" showErrorMessage="1" errorTitle="Facción no válida" error="Elige un valor del desplegable. Cambia facción, clase y especialización en ese orden." promptTitle="Facción" prompt="Elige una opción disponible. Si cambias un campo anterior, revisa los siguientes." sqref="C4">
      <x:formula1>ListaFacciones</x:formula1>
    </x:dataValidation>
    <x:dataValidation type="list" showInputMessage="1" showErrorMessage="1" errorTitle="Clase no válida" error="Elige un valor del desplegable. Cambia facción, clase y especialización en ese orden." promptTitle="Clase" prompt="Elige una opción disponible. Si cambias un campo anterior, revisa los siguientes." sqref="C5">
      <x:formula1>ListaClases</x:formula1>
    </x:dataValidation>
    <x:dataValidation type="list" showInputMessage="1" showErrorMessage="1" errorTitle="Especialización no válida" error="Elige un valor del desplegable. Cambia facción, clase y especialización en ese orden." promptTitle="Especialización" prompt="Elige una opción disponible. Si cambias un campo anterior, revisa los siguientes." sqref="C6">
      <x:formula1>ListaEspecializaciones</x:formula1>
    </x:dataValidation>
  </x:dataValidations>
  <x:hyperlinks>
    <x:hyperlink ref="B26" location="'Inicio'!B2"/>
    <x:hyperlink ref="C26" location="'Metodología'!B1"/>
    <x:hyperlink ref="E26" location="'Raciales'!B1"/>
  </x:hyperlinks>
  <x:pageMargins left="0.7" right="0.7" top="0.75" bottom="0.75" header="0.3" footer="0.3"/>
</x:worksheet>
</file>

<file path=xl/worksheets/sheet3.xml><?xml version="1.0" encoding="utf-8"?>
<x:worksheet xmlns:x="http://schemas.openxmlformats.org/spreadsheetml/2006/main">
  <x:sheetPr>
    <x:tabColor rgb="FF245C91"/>
  </x:sheetPr>
  <x:sheetViews>
    <x:sheetView showGridLines="0" workbookViewId="0">
      <x:pane ySplit="1" topLeftCell="A2" activePane="bottomLeft" state="frozen"/>
    </x:sheetView>
  </x:sheetViews>
  <x:sheetFormatPr baseColWidth="10" defaultRowHeight="14.399999618530273"/>
  <x:cols>
    <x:col min="1" max="1" width="4.109375" customWidth="1"/>
    <x:col min="2" max="2" width="19" customWidth="1"/>
    <x:col min="3" max="3" width="22.88671875" customWidth="1"/>
    <x:col min="4" max="5" width="24.44140625" customWidth="1"/>
    <x:col min="6" max="6" width="72.44140625" customWidth="1"/>
    <x:col min="7" max="7" width="20" customWidth="1"/>
    <x:col min="8" max="8" width="41.88671875" customWidth="1"/>
  </x:cols>
  <x:sheetData>
    <x:row r="1" ht="44.099998474121094" customHeight="1">
      <x:c r="A1" s="1"/>
      <x:c r="B1" s="66" t="s">
        <x:v>63</x:v>
      </x:c>
      <x:c r="C1" s="66"/>
      <x:c r="D1" s="66"/>
      <x:c r="E1" s="66"/>
      <x:c r="F1" s="66"/>
      <x:c r="G1" s="66"/>
      <x:c r="H1" s="66"/>
      <x:c r="I1" s="1"/>
      <x:c r="J1" s="1"/>
      <x:c r="K1" s="1"/>
      <x:c r="L1" s="1"/>
    </x:row>
    <x:row r="2" ht="21.899999618530273" customHeight="1">
      <x:c r="A2" s="1"/>
      <x:c r="B2" s="1"/>
      <x:c r="C2" s="1"/>
      <x:c r="D2" s="1"/>
      <x:c r="E2" s="1"/>
      <x:c r="F2" s="1"/>
      <x:c r="G2" s="1"/>
      <x:c r="H2" s="1"/>
      <x:c r="I2" s="1"/>
      <x:c r="J2" s="1"/>
      <x:c r="K2" s="1"/>
      <x:c r="L2" s="1"/>
    </x:row>
    <x:row r="3" ht="21.899999618530273" customHeight="1">
      <x:c r="A3" s="1"/>
      <x:c r="B3" s="67" t="s">
        <x:v>64</x:v>
      </x:c>
      <x:c r="C3" s="67"/>
      <x:c r="D3" s="67"/>
      <x:c r="E3" s="67"/>
      <x:c r="F3" s="67"/>
      <x:c r="G3" s="67"/>
      <x:c r="H3" s="67"/>
      <x:c r="I3" s="1"/>
      <x:c r="J3" s="1"/>
      <x:c r="K3" s="1"/>
      <x:c r="L3" s="1"/>
    </x:row>
    <x:row r="4" ht="21.899999618530273" customHeight="1">
      <x:c r="A4" s="1"/>
      <x:c r="B4" s="1"/>
      <x:c r="C4" s="1"/>
      <x:c r="D4" s="1"/>
      <x:c r="E4" s="1"/>
      <x:c r="F4" s="1"/>
      <x:c r="G4" s="1"/>
      <x:c r="H4" s="1"/>
      <x:c r="I4" s="1"/>
      <x:c r="J4" s="1"/>
      <x:c r="K4" s="1"/>
      <x:c r="L4" s="1"/>
    </x:row>
    <x:row r="5" ht="36" customHeight="1">
      <x:c r="A5" s="1"/>
      <x:c r="B5" s="23" t="s">
        <x:v>38</x:v>
      </x:c>
      <x:c r="C5" s="23" t="s">
        <x:v>42</x:v>
      </x:c>
      <x:c r="D5" s="23" t="s">
        <x:v>48</x:v>
      </x:c>
      <x:c r="E5" s="23" t="s">
        <x:v>49</x:v>
      </x:c>
      <x:c r="F5" s="23" t="s">
        <x:v>52</x:v>
      </x:c>
      <x:c r="G5" s="23" t="s">
        <x:v>65</x:v>
      </x:c>
      <x:c r="H5" s="23" t="s">
        <x:v>51</x:v>
      </x:c>
      <x:c r="I5" s="1"/>
      <x:c r="J5" s="1"/>
      <x:c r="K5" s="1"/>
      <x:c r="L5" s="1"/>
      <x:c r="M5" s="1"/>
    </x:row>
    <x:row r="6" ht="99.9000015258789" customHeight="1">
      <x:c r="A6" s="1"/>
      <x:c r="B6" s="3" t="s">
        <x:v>66</x:v>
      </x:c>
      <x:c r="C6" s="3" t="s">
        <x:v>67</x:v>
      </x:c>
      <x:c r="D6" s="5" t="s">
        <x:v>68</x:v>
      </x:c>
      <x:c r="E6" s="3" t="s">
        <x:v>69</x:v>
      </x:c>
      <x:c r="F6" s="4" t="s">
        <x:v>70</x:v>
      </x:c>
      <x:c r="G6" s="22" t="s">
        <x:v>71</x:v>
      </x:c>
      <x:c r="H6" s="4" t="s">
        <x:v>72</x:v>
      </x:c>
      <x:c r="I6" s="1"/>
      <x:c r="J6" s="1"/>
      <x:c r="K6" s="1"/>
      <x:c r="L6" s="1"/>
      <x:c r="M6" s="1"/>
    </x:row>
    <x:row r="7" ht="99.9000015258789" customHeight="1">
      <x:c r="A7" s="1"/>
      <x:c r="B7" s="3" t="s">
        <x:v>66</x:v>
      </x:c>
      <x:c r="C7" s="3" t="s">
        <x:v>73</x:v>
      </x:c>
      <x:c r="D7" s="5" t="s">
        <x:v>68</x:v>
      </x:c>
      <x:c r="E7" s="3" t="s">
        <x:v>69</x:v>
      </x:c>
      <x:c r="F7" s="4" t="s">
        <x:v>74</x:v>
      </x:c>
      <x:c r="G7" s="22" t="s">
        <x:v>71</x:v>
      </x:c>
      <x:c r="H7" s="4" t="s">
        <x:v>75</x:v>
      </x:c>
      <x:c r="I7" s="1"/>
      <x:c r="J7" s="1"/>
      <x:c r="K7" s="1"/>
      <x:c r="L7" s="1"/>
      <x:c r="M7" s="1"/>
    </x:row>
    <x:row r="8" ht="99.9000015258789" customHeight="1">
      <x:c r="A8" s="1"/>
      <x:c r="B8" s="3" t="s">
        <x:v>66</x:v>
      </x:c>
      <x:c r="C8" s="3" t="s">
        <x:v>76</x:v>
      </x:c>
      <x:c r="D8" s="5" t="s">
        <x:v>77</x:v>
      </x:c>
      <x:c r="E8" s="3" t="s">
        <x:v>69</x:v>
      </x:c>
      <x:c r="F8" s="4" t="s">
        <x:v>78</x:v>
      </x:c>
      <x:c r="G8" s="22" t="s">
        <x:v>71</x:v>
      </x:c>
      <x:c r="H8" s="4" t="s">
        <x:v>79</x:v>
      </x:c>
      <x:c r="I8" s="1"/>
      <x:c r="J8" s="1"/>
      <x:c r="K8" s="1"/>
      <x:c r="L8" s="1"/>
      <x:c r="M8" s="1"/>
    </x:row>
    <x:row r="9" ht="99.9000015258789" customHeight="1">
      <x:c r="A9" s="1"/>
      <x:c r="B9" s="3" t="s">
        <x:v>80</x:v>
      </x:c>
      <x:c r="C9" s="3" t="s">
        <x:v>81</x:v>
      </x:c>
      <x:c r="D9" s="5" t="s">
        <x:v>69</x:v>
      </x:c>
      <x:c r="E9" s="3" t="s">
        <x:v>77</x:v>
      </x:c>
      <x:c r="F9" s="4" t="s">
        <x:v>82</x:v>
      </x:c>
      <x:c r="G9" s="22" t="s">
        <x:v>71</x:v>
      </x:c>
      <x:c r="H9" s="4" t="s">
        <x:v>83</x:v>
      </x:c>
      <x:c r="I9" s="1"/>
      <x:c r="J9" s="1"/>
      <x:c r="K9" s="1"/>
      <x:c r="L9" s="1"/>
      <x:c r="M9" s="1"/>
    </x:row>
    <x:row r="10" ht="99.9000015258789" customHeight="1">
      <x:c r="A10" s="1"/>
      <x:c r="B10" s="3" t="s">
        <x:v>80</x:v>
      </x:c>
      <x:c r="C10" s="3" t="s">
        <x:v>76</x:v>
      </x:c>
      <x:c r="D10" s="5" t="s">
        <x:v>77</x:v>
      </x:c>
      <x:c r="E10" s="3" t="s">
        <x:v>69</x:v>
      </x:c>
      <x:c r="F10" s="4" t="s">
        <x:v>84</x:v>
      </x:c>
      <x:c r="G10" s="22" t="s">
        <x:v>71</x:v>
      </x:c>
      <x:c r="H10" s="4" t="s">
        <x:v>85</x:v>
      </x:c>
      <x:c r="I10" s="1"/>
      <x:c r="J10" s="1"/>
      <x:c r="K10" s="1"/>
      <x:c r="L10" s="1"/>
      <x:c r="M10" s="1"/>
    </x:row>
    <x:row r="11" ht="99.9000015258789" customHeight="1">
      <x:c r="A11" s="1"/>
      <x:c r="B11" s="3" t="s">
        <x:v>80</x:v>
      </x:c>
      <x:c r="C11" s="3" t="s">
        <x:v>86</x:v>
      </x:c>
      <x:c r="D11" s="5" t="s">
        <x:v>69</x:v>
      </x:c>
      <x:c r="E11" s="3" t="s">
        <x:v>77</x:v>
      </x:c>
      <x:c r="F11" s="4" t="s">
        <x:v>87</x:v>
      </x:c>
      <x:c r="G11" s="22" t="s">
        <x:v>71</x:v>
      </x:c>
      <x:c r="H11" s="4" t="s">
        <x:v>88</x:v>
      </x:c>
      <x:c r="I11" s="1"/>
      <x:c r="J11" s="1"/>
      <x:c r="K11" s="1"/>
      <x:c r="L11" s="1"/>
      <x:c r="M11" s="1"/>
    </x:row>
    <x:row r="12" ht="99.9000015258789" customHeight="1">
      <x:c r="A12" s="1"/>
      <x:c r="B12" s="3" t="s">
        <x:v>89</x:v>
      </x:c>
      <x:c r="C12" s="3" t="s">
        <x:v>90</x:v>
      </x:c>
      <x:c r="D12" s="5" t="s">
        <x:v>77</x:v>
      </x:c>
      <x:c r="E12" s="3" t="s">
        <x:v>91</x:v>
      </x:c>
      <x:c r="F12" s="4" t="s">
        <x:v>92</x:v>
      </x:c>
      <x:c r="G12" s="22" t="s">
        <x:v>93</x:v>
      </x:c>
      <x:c r="H12" s="4" t="s">
        <x:v>94</x:v>
      </x:c>
      <x:c r="I12" s="1"/>
      <x:c r="J12" s="1"/>
      <x:c r="K12" s="1"/>
      <x:c r="L12" s="1"/>
      <x:c r="M12" s="1"/>
    </x:row>
    <x:row r="13" ht="99.9000015258789" customHeight="1">
      <x:c r="A13" s="1"/>
      <x:c r="B13" s="3" t="s">
        <x:v>89</x:v>
      </x:c>
      <x:c r="C13" s="3" t="s">
        <x:v>95</x:v>
      </x:c>
      <x:c r="D13" s="5" t="s">
        <x:v>77</x:v>
      </x:c>
      <x:c r="E13" s="3" t="s">
        <x:v>69</x:v>
      </x:c>
      <x:c r="F13" s="4" t="s">
        <x:v>96</x:v>
      </x:c>
      <x:c r="G13" s="22" t="s">
        <x:v>71</x:v>
      </x:c>
      <x:c r="H13" s="4" t="s">
        <x:v>97</x:v>
      </x:c>
      <x:c r="I13" s="1"/>
      <x:c r="J13" s="1"/>
      <x:c r="K13" s="1"/>
      <x:c r="L13" s="1"/>
      <x:c r="M13" s="1"/>
    </x:row>
    <x:row r="14" ht="99.9000015258789" customHeight="1">
      <x:c r="A14" s="1"/>
      <x:c r="B14" s="3" t="s">
        <x:v>89</x:v>
      </x:c>
      <x:c r="C14" s="3" t="s">
        <x:v>98</x:v>
      </x:c>
      <x:c r="D14" s="5" t="s">
        <x:v>77</x:v>
      </x:c>
      <x:c r="E14" s="3" t="s">
        <x:v>69</x:v>
      </x:c>
      <x:c r="F14" s="4" t="s">
        <x:v>99</x:v>
      </x:c>
      <x:c r="G14" s="22" t="s">
        <x:v>71</x:v>
      </x:c>
      <x:c r="H14" s="4" t="s">
        <x:v>100</x:v>
      </x:c>
      <x:c r="I14" s="1"/>
      <x:c r="J14" s="1"/>
      <x:c r="K14" s="1"/>
      <x:c r="L14" s="1"/>
      <x:c r="M14" s="1"/>
    </x:row>
    <x:row r="15" ht="99.9000015258789" customHeight="1">
      <x:c r="A15" s="1"/>
      <x:c r="B15" s="3" t="s">
        <x:v>101</x:v>
      </x:c>
      <x:c r="C15" s="3" t="s">
        <x:v>102</x:v>
      </x:c>
      <x:c r="D15" s="5" t="s">
        <x:v>68</x:v>
      </x:c>
      <x:c r="E15" s="3" t="s">
        <x:v>69</x:v>
      </x:c>
      <x:c r="F15" s="4" t="s">
        <x:v>103</x:v>
      </x:c>
      <x:c r="G15" s="22" t="s">
        <x:v>71</x:v>
      </x:c>
      <x:c r="H15" s="4" t="s">
        <x:v>104</x:v>
      </x:c>
      <x:c r="I15" s="1"/>
      <x:c r="J15" s="1"/>
      <x:c r="K15" s="1"/>
      <x:c r="L15" s="1"/>
      <x:c r="M15" s="1"/>
    </x:row>
    <x:row r="16" ht="99.9000015258789" customHeight="1">
      <x:c r="A16" s="1"/>
      <x:c r="B16" s="3" t="s">
        <x:v>101</x:v>
      </x:c>
      <x:c r="C16" s="3" t="s">
        <x:v>105</x:v>
      </x:c>
      <x:c r="D16" s="5" t="s">
        <x:v>68</x:v>
      </x:c>
      <x:c r="E16" s="3" t="s">
        <x:v>69</x:v>
      </x:c>
      <x:c r="F16" s="4" t="s">
        <x:v>106</x:v>
      </x:c>
      <x:c r="G16" s="22" t="s">
        <x:v>71</x:v>
      </x:c>
      <x:c r="H16" s="4" t="s">
        <x:v>107</x:v>
      </x:c>
      <x:c r="I16" s="1"/>
      <x:c r="J16" s="1"/>
      <x:c r="K16" s="1"/>
      <x:c r="L16" s="1"/>
      <x:c r="M16" s="1"/>
    </x:row>
    <x:row r="17" ht="99.9000015258789" customHeight="1">
      <x:c r="A17" s="1"/>
      <x:c r="B17" s="3" t="s">
        <x:v>101</x:v>
      </x:c>
      <x:c r="C17" s="3" t="s">
        <x:v>108</x:v>
      </x:c>
      <x:c r="D17" s="5" t="s">
        <x:v>91</x:v>
      </x:c>
      <x:c r="E17" s="3" t="s">
        <x:v>68</x:v>
      </x:c>
      <x:c r="F17" s="4" t="s">
        <x:v>109</x:v>
      </x:c>
      <x:c r="G17" s="22" t="s">
        <x:v>71</x:v>
      </x:c>
      <x:c r="H17" s="4" t="s">
        <x:v>110</x:v>
      </x:c>
      <x:c r="I17" s="1"/>
      <x:c r="J17" s="1"/>
      <x:c r="K17" s="1"/>
      <x:c r="L17" s="1"/>
      <x:c r="M17" s="1"/>
    </x:row>
    <x:row r="18" ht="99.9000015258789" customHeight="1">
      <x:c r="A18" s="1"/>
      <x:c r="B18" s="3" t="s">
        <x:v>39</x:v>
      </x:c>
      <x:c r="C18" s="3" t="s">
        <x:v>111</x:v>
      </x:c>
      <x:c r="D18" s="5" t="s">
        <x:v>77</x:v>
      </x:c>
      <x:c r="E18" s="3" t="s">
        <x:v>68</x:v>
      </x:c>
      <x:c r="F18" s="4" t="s">
        <x:v>112</x:v>
      </x:c>
      <x:c r="G18" s="22" t="s">
        <x:v>71</x:v>
      </x:c>
      <x:c r="H18" s="4" t="s">
        <x:v>113</x:v>
      </x:c>
      <x:c r="I18" s="1"/>
      <x:c r="J18" s="1"/>
      <x:c r="K18" s="1"/>
      <x:c r="L18" s="1"/>
      <x:c r="M18" s="1"/>
    </x:row>
    <x:row r="19" ht="99.9000015258789" customHeight="1">
      <x:c r="A19" s="1"/>
      <x:c r="B19" s="3" t="s">
        <x:v>39</x:v>
      </x:c>
      <x:c r="C19" s="3" t="s">
        <x:v>81</x:v>
      </x:c>
      <x:c r="D19" s="5" t="s">
        <x:v>77</x:v>
      </x:c>
      <x:c r="E19" s="3" t="s">
        <x:v>69</x:v>
      </x:c>
      <x:c r="F19" s="4" t="s">
        <x:v>114</x:v>
      </x:c>
      <x:c r="G19" s="22" t="s">
        <x:v>71</x:v>
      </x:c>
      <x:c r="H19" s="4" t="s">
        <x:v>115</x:v>
      </x:c>
      <x:c r="I19" s="1"/>
      <x:c r="J19" s="1"/>
      <x:c r="K19" s="1"/>
      <x:c r="L19" s="1"/>
      <x:c r="M19" s="1"/>
    </x:row>
    <x:row r="20" ht="99.9000015258789" customHeight="1">
      <x:c r="A20" s="1"/>
      <x:c r="B20" s="3" t="s">
        <x:v>39</x:v>
      </x:c>
      <x:c r="C20" s="3" t="s">
        <x:v>43</x:v>
      </x:c>
      <x:c r="D20" s="5" t="s">
        <x:v>68</x:v>
      </x:c>
      <x:c r="E20" s="3" t="s">
        <x:v>69</x:v>
      </x:c>
      <x:c r="F20" s="4" t="s">
        <x:v>116</x:v>
      </x:c>
      <x:c r="G20" s="22" t="s">
        <x:v>71</x:v>
      </x:c>
      <x:c r="H20" s="4" t="s">
        <x:v>117</x:v>
      </x:c>
      <x:c r="I20" s="1"/>
      <x:c r="J20" s="1"/>
      <x:c r="K20" s="1"/>
      <x:c r="L20" s="1"/>
      <x:c r="M20" s="1"/>
    </x:row>
    <x:row r="21" ht="99.9000015258789" customHeight="1">
      <x:c r="A21" s="1"/>
      <x:c r="B21" s="3" t="s">
        <x:v>118</x:v>
      </x:c>
      <x:c r="C21" s="3" t="s">
        <x:v>119</x:v>
      </x:c>
      <x:c r="D21" s="5" t="s">
        <x:v>68</x:v>
      </x:c>
      <x:c r="E21" s="3" t="s">
        <x:v>69</x:v>
      </x:c>
      <x:c r="F21" s="4" t="s">
        <x:v>120</x:v>
      </x:c>
      <x:c r="G21" s="22" t="s">
        <x:v>71</x:v>
      </x:c>
      <x:c r="H21" s="4" t="s">
        <x:v>121</x:v>
      </x:c>
      <x:c r="I21" s="1"/>
      <x:c r="J21" s="1"/>
      <x:c r="K21" s="1"/>
      <x:c r="L21" s="1"/>
      <x:c r="M21" s="1"/>
    </x:row>
    <x:row r="22" ht="99.9000015258789" customHeight="1">
      <x:c r="A22" s="1"/>
      <x:c r="B22" s="3" t="s">
        <x:v>118</x:v>
      </x:c>
      <x:c r="C22" s="3" t="s">
        <x:v>122</x:v>
      </x:c>
      <x:c r="D22" s="5" t="s">
        <x:v>68</x:v>
      </x:c>
      <x:c r="E22" s="3" t="s">
        <x:v>69</x:v>
      </x:c>
      <x:c r="F22" s="4" t="s">
        <x:v>123</x:v>
      </x:c>
      <x:c r="G22" s="22" t="s">
        <x:v>71</x:v>
      </x:c>
      <x:c r="H22" s="4" t="s">
        <x:v>124</x:v>
      </x:c>
      <x:c r="I22" s="1"/>
      <x:c r="J22" s="1"/>
      <x:c r="K22" s="1"/>
      <x:c r="L22" s="1"/>
      <x:c r="M22" s="1"/>
    </x:row>
    <x:row r="23" ht="99.9000015258789" customHeight="1">
      <x:c r="A23" s="1"/>
      <x:c r="B23" s="3" t="s">
        <x:v>118</x:v>
      </x:c>
      <x:c r="C23" s="3" t="s">
        <x:v>125</x:v>
      </x:c>
      <x:c r="D23" s="5" t="s">
        <x:v>68</x:v>
      </x:c>
      <x:c r="E23" s="3" t="s">
        <x:v>69</x:v>
      </x:c>
      <x:c r="F23" s="4" t="s">
        <x:v>126</x:v>
      </x:c>
      <x:c r="G23" s="22" t="s">
        <x:v>71</x:v>
      </x:c>
      <x:c r="H23" s="4" t="s">
        <x:v>127</x:v>
      </x:c>
      <x:c r="I23" s="1"/>
      <x:c r="J23" s="1"/>
      <x:c r="K23" s="1"/>
      <x:c r="L23" s="1"/>
      <x:c r="M23" s="1"/>
    </x:row>
    <x:row r="24" ht="99.9000015258789" customHeight="1">
      <x:c r="A24" s="1"/>
      <x:c r="B24" s="3" t="s">
        <x:v>128</x:v>
      </x:c>
      <x:c r="C24" s="3" t="s">
        <x:v>129</x:v>
      </x:c>
      <x:c r="D24" s="5" t="s">
        <x:v>69</x:v>
      </x:c>
      <x:c r="E24" s="3" t="s">
        <x:v>68</x:v>
      </x:c>
      <x:c r="F24" s="4" t="s">
        <x:v>130</x:v>
      </x:c>
      <x:c r="G24" s="22" t="s">
        <x:v>71</x:v>
      </x:c>
      <x:c r="H24" s="4" t="s">
        <x:v>131</x:v>
      </x:c>
      <x:c r="I24" s="1"/>
      <x:c r="J24" s="1"/>
      <x:c r="K24" s="1"/>
      <x:c r="L24" s="1"/>
      <x:c r="M24" s="1"/>
    </x:row>
    <x:row r="25" ht="99.9000015258789" customHeight="1">
      <x:c r="A25" s="1"/>
      <x:c r="B25" s="3" t="s">
        <x:v>128</x:v>
      </x:c>
      <x:c r="C25" s="3" t="s">
        <x:v>132</x:v>
      </x:c>
      <x:c r="D25" s="5" t="s">
        <x:v>69</x:v>
      </x:c>
      <x:c r="E25" s="3" t="s">
        <x:v>68</x:v>
      </x:c>
      <x:c r="F25" s="4" t="s">
        <x:v>133</x:v>
      </x:c>
      <x:c r="G25" s="22" t="s">
        <x:v>71</x:v>
      </x:c>
      <x:c r="H25" s="4" t="s">
        <x:v>134</x:v>
      </x:c>
      <x:c r="I25" s="1"/>
      <x:c r="J25" s="1"/>
      <x:c r="K25" s="1"/>
      <x:c r="L25" s="1"/>
      <x:c r="M25" s="1"/>
    </x:row>
    <x:row r="26" ht="99.9000015258789" customHeight="1">
      <x:c r="A26" s="1"/>
      <x:c r="B26" s="3" t="s">
        <x:v>128</x:v>
      </x:c>
      <x:c r="C26" s="3" t="s">
        <x:v>135</x:v>
      </x:c>
      <x:c r="D26" s="5" t="s">
        <x:v>69</x:v>
      </x:c>
      <x:c r="E26" s="3" t="s">
        <x:v>68</x:v>
      </x:c>
      <x:c r="F26" s="4" t="s">
        <x:v>136</x:v>
      </x:c>
      <x:c r="G26" s="22" t="s">
        <x:v>71</x:v>
      </x:c>
      <x:c r="H26" s="4" t="s">
        <x:v>137</x:v>
      </x:c>
      <x:c r="I26" s="1"/>
      <x:c r="J26" s="1"/>
      <x:c r="K26" s="1"/>
      <x:c r="L26" s="1"/>
      <x:c r="M26" s="1"/>
    </x:row>
    <x:row r="27" ht="99.9000015258789" customHeight="1">
      <x:c r="A27" s="1"/>
      <x:c r="B27" s="3" t="s">
        <x:v>138</x:v>
      </x:c>
      <x:c r="C27" s="3" t="s">
        <x:v>139</x:v>
      </x:c>
      <x:c r="D27" s="5" t="s">
        <x:v>91</x:v>
      </x:c>
      <x:c r="E27" s="3" t="s">
        <x:v>140</x:v>
      </x:c>
      <x:c r="F27" s="4" t="s">
        <x:v>141</x:v>
      </x:c>
      <x:c r="G27" s="22" t="s">
        <x:v>93</x:v>
      </x:c>
      <x:c r="H27" s="4" t="s">
        <x:v>142</x:v>
      </x:c>
      <x:c r="I27" s="1"/>
      <x:c r="J27" s="1"/>
      <x:c r="K27" s="1"/>
      <x:c r="L27" s="1"/>
      <x:c r="M27" s="1"/>
    </x:row>
    <x:row r="28" ht="99.9000015258789" customHeight="1">
      <x:c r="A28" s="1"/>
      <x:c r="B28" s="3" t="s">
        <x:v>138</x:v>
      </x:c>
      <x:c r="C28" s="3" t="s">
        <x:v>143</x:v>
      </x:c>
      <x:c r="D28" s="5" t="s">
        <x:v>91</x:v>
      </x:c>
      <x:c r="E28" s="3" t="s">
        <x:v>140</x:v>
      </x:c>
      <x:c r="F28" s="4" t="s">
        <x:v>144</x:v>
      </x:c>
      <x:c r="G28" s="22" t="s">
        <x:v>71</x:v>
      </x:c>
      <x:c r="H28" s="4" t="s">
        <x:v>145</x:v>
      </x:c>
      <x:c r="I28" s="1"/>
      <x:c r="J28" s="1"/>
      <x:c r="K28" s="1"/>
      <x:c r="L28" s="1"/>
      <x:c r="M28" s="1"/>
    </x:row>
    <x:row r="29" ht="99.9000015258789" customHeight="1">
      <x:c r="A29" s="1"/>
      <x:c r="B29" s="3" t="s">
        <x:v>138</x:v>
      </x:c>
      <x:c r="C29" s="3" t="s">
        <x:v>146</x:v>
      </x:c>
      <x:c r="D29" s="5" t="s">
        <x:v>91</x:v>
      </x:c>
      <x:c r="E29" s="3" t="s">
        <x:v>140</x:v>
      </x:c>
      <x:c r="F29" s="4" t="s">
        <x:v>147</x:v>
      </x:c>
      <x:c r="G29" s="22" t="s">
        <x:v>93</x:v>
      </x:c>
      <x:c r="H29" s="4" t="s">
        <x:v>148</x:v>
      </x:c>
      <x:c r="I29" s="1"/>
      <x:c r="J29" s="1"/>
      <x:c r="K29" s="1"/>
      <x:c r="L29" s="1"/>
      <x:c r="M29" s="1"/>
    </x:row>
    <x:row r="30" ht="99.9000015258789" customHeight="1">
      <x:c r="A30" s="1"/>
      <x:c r="B30" s="3" t="s">
        <x:v>149</x:v>
      </x:c>
      <x:c r="C30" s="3" t="s">
        <x:v>150</x:v>
      </x:c>
      <x:c r="D30" s="5" t="s">
        <x:v>77</x:v>
      </x:c>
      <x:c r="E30" s="3" t="s">
        <x:v>140</x:v>
      </x:c>
      <x:c r="F30" s="4" t="s">
        <x:v>151</x:v>
      </x:c>
      <x:c r="G30" s="22" t="s">
        <x:v>71</x:v>
      </x:c>
      <x:c r="H30" s="4" t="s">
        <x:v>152</x:v>
      </x:c>
      <x:c r="I30" s="1"/>
      <x:c r="J30" s="1"/>
      <x:c r="K30" s="1"/>
      <x:c r="L30" s="1"/>
      <x:c r="M30" s="1"/>
    </x:row>
    <x:row r="31" ht="99.9000015258789" customHeight="1">
      <x:c r="A31" s="1"/>
      <x:c r="B31" s="3" t="s">
        <x:v>149</x:v>
      </x:c>
      <x:c r="C31" s="3" t="s">
        <x:v>153</x:v>
      </x:c>
      <x:c r="D31" s="5" t="s">
        <x:v>77</x:v>
      </x:c>
      <x:c r="E31" s="3" t="s">
        <x:v>140</x:v>
      </x:c>
      <x:c r="F31" s="4" t="s">
        <x:v>154</x:v>
      </x:c>
      <x:c r="G31" s="22" t="s">
        <x:v>71</x:v>
      </x:c>
      <x:c r="H31" s="4" t="s">
        <x:v>155</x:v>
      </x:c>
      <x:c r="I31" s="1"/>
      <x:c r="J31" s="1"/>
      <x:c r="K31" s="1"/>
      <x:c r="L31" s="1"/>
      <x:c r="M31" s="1"/>
    </x:row>
    <x:row r="32" ht="99.9000015258789" customHeight="1">
      <x:c r="A32" s="1"/>
      <x:c r="B32" s="3" t="s">
        <x:v>149</x:v>
      </x:c>
      <x:c r="C32" s="3" t="s">
        <x:v>146</x:v>
      </x:c>
      <x:c r="D32" s="5" t="s">
        <x:v>77</x:v>
      </x:c>
      <x:c r="E32" s="3" t="s">
        <x:v>140</x:v>
      </x:c>
      <x:c r="F32" s="4" t="s">
        <x:v>156</x:v>
      </x:c>
      <x:c r="G32" s="22" t="s">
        <x:v>71</x:v>
      </x:c>
      <x:c r="H32" s="4" t="s">
        <x:v>157</x:v>
      </x:c>
      <x:c r="I32" s="1"/>
      <x:c r="J32" s="1"/>
      <x:c r="K32" s="1"/>
      <x:c r="L32" s="1"/>
      <x:c r="M32" s="1"/>
    </x:row>
    <x:row r="33" ht="21.899999618530273" customHeight="1">
      <x:c r="A33" s="1"/>
      <x:c r="B33" s="1"/>
      <x:c r="C33" s="1"/>
      <x:c r="D33" s="1"/>
      <x:c r="E33" s="1"/>
      <x:c r="F33" s="1"/>
      <x:c r="G33" s="1"/>
      <x:c r="H33" s="1"/>
      <x:c r="I33" s="1"/>
      <x:c r="J33" s="1"/>
      <x:c r="K33" s="1"/>
      <x:c r="L33" s="1"/>
    </x:row>
    <x:row r="34" ht="21.899999618530273" customHeight="1">
      <x:c r="A34" s="1"/>
      <x:c r="B34" s="1"/>
      <x:c r="C34" s="1"/>
      <x:c r="D34" s="1"/>
      <x:c r="E34" s="1"/>
      <x:c r="F34" s="1"/>
      <x:c r="G34" s="1"/>
      <x:c r="H34" s="1"/>
      <x:c r="I34" s="1"/>
      <x:c r="J34" s="1"/>
      <x:c r="K34" s="1"/>
      <x:c r="L34" s="1"/>
    </x:row>
    <x:row r="35" ht="21.899999618530273" customHeight="1">
      <x:c r="A35" s="1"/>
      <x:c r="B35" s="64" t="s">
        <x:v>158</x:v>
      </x:c>
      <x:c r="C35" s="64"/>
      <x:c r="D35" s="64"/>
      <x:c r="E35" s="64"/>
      <x:c r="F35" s="64"/>
      <x:c r="G35" s="64"/>
      <x:c r="H35" s="1"/>
      <x:c r="I35" s="1"/>
      <x:c r="J35" s="1"/>
      <x:c r="K35" s="1"/>
      <x:c r="L35" s="1"/>
    </x:row>
    <x:row r="36" ht="21.899999618530273" customHeight="1">
      <x:c r="A36" s="1"/>
      <x:c r="B36" s="64"/>
      <x:c r="C36" s="64"/>
      <x:c r="D36" s="64"/>
      <x:c r="E36" s="64"/>
      <x:c r="F36" s="64"/>
      <x:c r="G36" s="64"/>
      <x:c r="H36" s="1"/>
      <x:c r="I36" s="1"/>
      <x:c r="J36" s="1"/>
      <x:c r="K36" s="1"/>
      <x:c r="L36" s="1"/>
    </x:row>
    <x:row r="37" ht="21.899999618530273" customHeight="1">
      <x:c r="A37" s="1"/>
      <x:c r="B37" s="1"/>
      <x:c r="C37" s="1"/>
      <x:c r="D37" s="1"/>
      <x:c r="E37" s="1"/>
      <x:c r="F37" s="1"/>
      <x:c r="G37" s="1"/>
      <x:c r="H37" s="1"/>
      <x:c r="I37" s="1"/>
      <x:c r="J37" s="1"/>
      <x:c r="K37" s="1"/>
      <x:c r="L37" s="1"/>
    </x:row>
    <x:row r="38" ht="21.899999618530273" customHeight="1">
      <x:c r="A38" s="1"/>
      <x:c r="B38" s="6" t="s">
        <x:v>159</x:v>
      </x:c>
      <x:c r="C38" s="1"/>
      <x:c r="D38" s="1"/>
      <x:c r="E38" s="1"/>
      <x:c r="F38" s="1"/>
      <x:c r="G38" s="1"/>
      <x:c r="H38" s="1"/>
      <x:c r="I38" s="1"/>
      <x:c r="J38" s="1"/>
      <x:c r="K38" s="1"/>
      <x:c r="L38" s="1"/>
    </x:row>
    <x:row r="39" ht="21.899999618530273" customHeight="1">
      <x:c r="A39" s="1"/>
      <x:c r="B39" s="1"/>
      <x:c r="C39" s="1"/>
      <x:c r="D39" s="1"/>
      <x:c r="E39" s="1"/>
      <x:c r="F39" s="1"/>
      <x:c r="G39" s="1"/>
      <x:c r="H39" s="1"/>
      <x:c r="I39" s="1"/>
      <x:c r="J39" s="1"/>
      <x:c r="K39" s="1"/>
      <x:c r="L39" s="1"/>
    </x:row>
    <x:row r="40" ht="21.899999618530273" customHeight="1">
      <x:c r="A40" s="1"/>
      <x:c r="B40" s="47" t="s">
        <x:v>62</x:v>
      </x:c>
      <x:c r="C40" s="47"/>
      <x:c r="D40" s="47"/>
      <x:c r="E40" s="47"/>
      <x:c r="F40" s="47"/>
      <x:c r="G40" s="47"/>
      <x:c r="H40" s="1"/>
      <x:c r="I40" s="1"/>
      <x:c r="J40" s="1"/>
      <x:c r="K40" s="1"/>
      <x:c r="L40" s="1"/>
    </x:row>
    <x:row r="41" ht="21.899999618530273" customHeight="1">
      <x:c r="A41" s="1"/>
      <x:c r="B41" s="1"/>
      <x:c r="C41" s="1"/>
      <x:c r="D41" s="1"/>
      <x:c r="E41" s="1"/>
      <x:c r="F41" s="1"/>
      <x:c r="G41" s="1"/>
      <x:c r="H41" s="1"/>
      <x:c r="I41" s="1"/>
      <x:c r="J41" s="1"/>
      <x:c r="K41" s="1"/>
      <x:c r="L41" s="1"/>
    </x:row>
    <x:row r="42" ht="21.899999618530273" customHeight="1">
      <x:c r="A42" s="1"/>
      <x:c r="B42" s="1"/>
      <x:c r="C42" s="1"/>
      <x:c r="D42" s="1"/>
      <x:c r="E42" s="1"/>
      <x:c r="F42" s="1"/>
      <x:c r="G42" s="1"/>
      <x:c r="H42" s="1"/>
      <x:c r="I42" s="1"/>
      <x:c r="J42" s="1"/>
      <x:c r="K42" s="1"/>
      <x:c r="L42" s="1"/>
    </x:row>
    <x:row r="43" ht="21.899999618530273" customHeight="1">
      <x:c r="A43" s="1"/>
      <x:c r="B43" s="1"/>
      <x:c r="C43" s="1"/>
      <x:c r="D43" s="1"/>
      <x:c r="E43" s="1"/>
      <x:c r="F43" s="1"/>
      <x:c r="G43" s="1"/>
      <x:c r="H43" s="1"/>
      <x:c r="I43" s="1"/>
      <x:c r="J43" s="1"/>
      <x:c r="K43" s="1"/>
      <x:c r="L43" s="1"/>
    </x:row>
    <x:row r="44" ht="21.899999618530273" customHeight="1">
      <x:c r="A44" s="1"/>
      <x:c r="B44" s="1"/>
      <x:c r="C44" s="1"/>
      <x:c r="D44" s="1"/>
      <x:c r="E44" s="1"/>
      <x:c r="F44" s="1"/>
      <x:c r="G44" s="1"/>
      <x:c r="H44" s="1"/>
      <x:c r="I44" s="1"/>
      <x:c r="J44" s="1"/>
      <x:c r="K44" s="1"/>
      <x:c r="L44" s="1"/>
    </x:row>
    <x:row r="45" ht="21.899999618530273" customHeight="1">
      <x:c r="A45" s="1"/>
      <x:c r="B45" s="1"/>
      <x:c r="C45" s="1"/>
      <x:c r="D45" s="1"/>
      <x:c r="E45" s="1"/>
      <x:c r="F45" s="1"/>
      <x:c r="G45" s="1"/>
      <x:c r="H45" s="1"/>
      <x:c r="I45" s="1"/>
      <x:c r="J45" s="1"/>
      <x:c r="K45" s="1"/>
      <x:c r="L45" s="1"/>
    </x:row>
  </x:sheetData>
  <x:mergeCells>
    <x:mergeCell ref="B35:G36"/>
    <x:mergeCell ref="B40:G40"/>
    <x:mergeCell ref="B1:H1"/>
    <x:mergeCell ref="B3:H3"/>
  </x:mergeCells>
  <x:hyperlinks>
    <x:hyperlink ref="B38" location="'Selector'!B1"/>
  </x:hyperlinks>
  <x:pageMargins left="0.7" right="0.7" top="0.75" bottom="0.75" header="0.3" footer="0.3"/>
  <x:tableParts count="1">
    <x:tablePart xmlns:r="http://schemas.openxmlformats.org/officeDocument/2006/relationships" r:id="R91abfe92538e4dc6"/>
  </x:tableParts>
</x:worksheet>
</file>

<file path=xl/worksheets/sheet4.xml><?xml version="1.0" encoding="utf-8"?>
<x:worksheet xmlns:x="http://schemas.openxmlformats.org/spreadsheetml/2006/main">
  <x:sheetPr>
    <x:tabColor rgb="FF245C91"/>
  </x:sheetPr>
  <x:sheetViews>
    <x:sheetView showGridLines="0" workbookViewId="0">
      <x:pane ySplit="1" topLeftCell="A2" activePane="bottomLeft" state="frozen"/>
    </x:sheetView>
  </x:sheetViews>
  <x:sheetFormatPr baseColWidth="10" defaultRowHeight="14.399999618530273"/>
  <x:cols>
    <x:col min="1" max="1" width="4.109375" customWidth="1"/>
    <x:col min="2" max="2" width="19" customWidth="1"/>
    <x:col min="3" max="3" width="22.88671875" customWidth="1"/>
    <x:col min="4" max="5" width="24.44140625" customWidth="1"/>
    <x:col min="6" max="6" width="72.44140625" customWidth="1"/>
    <x:col min="7" max="7" width="20" customWidth="1"/>
    <x:col min="8" max="8" width="41.88671875" customWidth="1"/>
  </x:cols>
  <x:sheetData>
    <x:row r="1" ht="44.099998474121094" customHeight="1">
      <x:c r="A1" s="1"/>
      <x:c r="B1" s="66" t="s">
        <x:v>160</x:v>
      </x:c>
      <x:c r="C1" s="66"/>
      <x:c r="D1" s="66"/>
      <x:c r="E1" s="66"/>
      <x:c r="F1" s="66"/>
      <x:c r="G1" s="66"/>
      <x:c r="H1" s="66"/>
      <x:c r="I1" s="1"/>
      <x:c r="J1" s="1"/>
      <x:c r="K1" s="1"/>
      <x:c r="L1" s="1"/>
    </x:row>
    <x:row r="2" ht="21.899999618530273" customHeight="1">
      <x:c r="A2" s="1"/>
      <x:c r="B2" s="1"/>
      <x:c r="C2" s="1"/>
      <x:c r="D2" s="1"/>
      <x:c r="E2" s="1"/>
      <x:c r="F2" s="1"/>
      <x:c r="G2" s="1"/>
      <x:c r="H2" s="1"/>
      <x:c r="I2" s="1"/>
      <x:c r="J2" s="1"/>
      <x:c r="K2" s="1"/>
      <x:c r="L2" s="1"/>
    </x:row>
    <x:row r="3" ht="21.899999618530273" customHeight="1">
      <x:c r="A3" s="1"/>
      <x:c r="B3" s="67" t="s">
        <x:v>161</x:v>
      </x:c>
      <x:c r="C3" s="67"/>
      <x:c r="D3" s="67"/>
      <x:c r="E3" s="67"/>
      <x:c r="F3" s="67"/>
      <x:c r="G3" s="67"/>
      <x:c r="H3" s="67"/>
      <x:c r="I3" s="1"/>
      <x:c r="J3" s="1"/>
      <x:c r="K3" s="1"/>
      <x:c r="L3" s="1"/>
    </x:row>
    <x:row r="4" ht="21.899999618530273" customHeight="1">
      <x:c r="A4" s="1"/>
      <x:c r="B4" s="1"/>
      <x:c r="C4" s="1"/>
      <x:c r="D4" s="1"/>
      <x:c r="E4" s="1"/>
      <x:c r="F4" s="1"/>
      <x:c r="G4" s="1"/>
      <x:c r="H4" s="1"/>
      <x:c r="I4" s="1"/>
      <x:c r="J4" s="1"/>
      <x:c r="K4" s="1"/>
      <x:c r="L4" s="1"/>
    </x:row>
    <x:row r="5" ht="36" customHeight="1">
      <x:c r="A5" s="1"/>
      <x:c r="B5" s="23" t="s">
        <x:v>38</x:v>
      </x:c>
      <x:c r="C5" s="23" t="s">
        <x:v>42</x:v>
      </x:c>
      <x:c r="D5" s="23" t="s">
        <x:v>48</x:v>
      </x:c>
      <x:c r="E5" s="23" t="s">
        <x:v>49</x:v>
      </x:c>
      <x:c r="F5" s="23" t="s">
        <x:v>52</x:v>
      </x:c>
      <x:c r="G5" s="23" t="s">
        <x:v>65</x:v>
      </x:c>
      <x:c r="H5" s="23" t="s">
        <x:v>51</x:v>
      </x:c>
      <x:c r="I5" s="1"/>
      <x:c r="J5" s="1"/>
      <x:c r="K5" s="1"/>
      <x:c r="L5" s="1"/>
      <x:c r="M5" s="1"/>
    </x:row>
    <x:row r="6" ht="99.9000015258789" customHeight="1">
      <x:c r="A6" s="1"/>
      <x:c r="B6" s="3" t="s">
        <x:v>66</x:v>
      </x:c>
      <x:c r="C6" s="3" t="s">
        <x:v>67</x:v>
      </x:c>
      <x:c r="D6" s="5" t="s">
        <x:v>162</x:v>
      </x:c>
      <x:c r="E6" s="3" t="s">
        <x:v>163</x:v>
      </x:c>
      <x:c r="F6" s="4" t="s">
        <x:v>164</x:v>
      </x:c>
      <x:c r="G6" s="22" t="s">
        <x:v>71</x:v>
      </x:c>
      <x:c r="H6" s="4" t="s">
        <x:v>165</x:v>
      </x:c>
      <x:c r="I6" s="1"/>
      <x:c r="J6" s="1"/>
      <x:c r="K6" s="1"/>
      <x:c r="L6" s="1"/>
      <x:c r="M6" s="1"/>
    </x:row>
    <x:row r="7" ht="99.9000015258789" customHeight="1">
      <x:c r="A7" s="1"/>
      <x:c r="B7" s="3" t="s">
        <x:v>66</x:v>
      </x:c>
      <x:c r="C7" s="3" t="s">
        <x:v>73</x:v>
      </x:c>
      <x:c r="D7" s="5" t="s">
        <x:v>162</x:v>
      </x:c>
      <x:c r="E7" s="3" t="s">
        <x:v>163</x:v>
      </x:c>
      <x:c r="F7" s="4" t="s">
        <x:v>166</x:v>
      </x:c>
      <x:c r="G7" s="22" t="s">
        <x:v>71</x:v>
      </x:c>
      <x:c r="H7" s="4" t="s">
        <x:v>167</x:v>
      </x:c>
      <x:c r="I7" s="1"/>
      <x:c r="J7" s="1"/>
      <x:c r="K7" s="1"/>
      <x:c r="L7" s="1"/>
      <x:c r="M7" s="1"/>
    </x:row>
    <x:row r="8" ht="99.9000015258789" customHeight="1">
      <x:c r="A8" s="1"/>
      <x:c r="B8" s="3" t="s">
        <x:v>66</x:v>
      </x:c>
      <x:c r="C8" s="3" t="s">
        <x:v>76</x:v>
      </x:c>
      <x:c r="D8" s="5" t="s">
        <x:v>163</x:v>
      </x:c>
      <x:c r="E8" s="3" t="s">
        <x:v>162</x:v>
      </x:c>
      <x:c r="F8" s="4" t="s">
        <x:v>168</x:v>
      </x:c>
      <x:c r="G8" s="22" t="s">
        <x:v>71</x:v>
      </x:c>
      <x:c r="H8" s="4" t="s">
        <x:v>169</x:v>
      </x:c>
      <x:c r="I8" s="1"/>
      <x:c r="J8" s="1"/>
      <x:c r="K8" s="1"/>
      <x:c r="L8" s="1"/>
      <x:c r="M8" s="1"/>
    </x:row>
    <x:row r="9" ht="99.9000015258789" customHeight="1">
      <x:c r="A9" s="1"/>
      <x:c r="B9" s="3" t="s">
        <x:v>89</x:v>
      </x:c>
      <x:c r="C9" s="3" t="s">
        <x:v>90</x:v>
      </x:c>
      <x:c r="D9" s="5" t="s">
        <x:v>162</x:v>
      </x:c>
      <x:c r="E9" s="3" t="s">
        <x:v>170</x:v>
      </x:c>
      <x:c r="F9" s="4" t="s">
        <x:v>171</x:v>
      </x:c>
      <x:c r="G9" s="22" t="s">
        <x:v>71</x:v>
      </x:c>
      <x:c r="H9" s="4" t="s">
        <x:v>172</x:v>
      </x:c>
      <x:c r="I9" s="1"/>
      <x:c r="J9" s="1"/>
      <x:c r="K9" s="1"/>
      <x:c r="L9" s="1"/>
      <x:c r="M9" s="1"/>
    </x:row>
    <x:row r="10" ht="99.9000015258789" customHeight="1">
      <x:c r="A10" s="1"/>
      <x:c r="B10" s="3" t="s">
        <x:v>89</x:v>
      </x:c>
      <x:c r="C10" s="3" t="s">
        <x:v>95</x:v>
      </x:c>
      <x:c r="D10" s="5" t="s">
        <x:v>170</x:v>
      </x:c>
      <x:c r="E10" s="3" t="s">
        <x:v>162</x:v>
      </x:c>
      <x:c r="F10" s="4" t="s">
        <x:v>173</x:v>
      </x:c>
      <x:c r="G10" s="22" t="s">
        <x:v>71</x:v>
      </x:c>
      <x:c r="H10" s="4" t="s">
        <x:v>174</x:v>
      </x:c>
      <x:c r="I10" s="1"/>
      <x:c r="J10" s="1"/>
      <x:c r="K10" s="1"/>
      <x:c r="L10" s="1"/>
      <x:c r="M10" s="1"/>
    </x:row>
    <x:row r="11" ht="99.9000015258789" customHeight="1">
      <x:c r="A11" s="1"/>
      <x:c r="B11" s="3" t="s">
        <x:v>89</x:v>
      </x:c>
      <x:c r="C11" s="3" t="s">
        <x:v>98</x:v>
      </x:c>
      <x:c r="D11" s="5" t="s">
        <x:v>162</x:v>
      </x:c>
      <x:c r="E11" s="3" t="s">
        <x:v>163</x:v>
      </x:c>
      <x:c r="F11" s="4" t="s">
        <x:v>175</x:v>
      </x:c>
      <x:c r="G11" s="22" t="s">
        <x:v>93</x:v>
      </x:c>
      <x:c r="H11" s="4" t="s">
        <x:v>176</x:v>
      </x:c>
      <x:c r="I11" s="1"/>
      <x:c r="J11" s="1"/>
      <x:c r="K11" s="1"/>
      <x:c r="L11" s="1"/>
      <x:c r="M11" s="1"/>
    </x:row>
    <x:row r="12" ht="99.9000015258789" customHeight="1">
      <x:c r="A12" s="1"/>
      <x:c r="B12" s="3" t="s">
        <x:v>101</x:v>
      </x:c>
      <x:c r="C12" s="3" t="s">
        <x:v>102</x:v>
      </x:c>
      <x:c r="D12" s="5" t="s">
        <x:v>177</x:v>
      </x:c>
      <x:c r="E12" s="3" t="s">
        <x:v>162</x:v>
      </x:c>
      <x:c r="F12" s="4" t="s">
        <x:v>178</x:v>
      </x:c>
      <x:c r="G12" s="22" t="s">
        <x:v>71</x:v>
      </x:c>
      <x:c r="H12" s="4" t="s">
        <x:v>179</x:v>
      </x:c>
      <x:c r="I12" s="1"/>
      <x:c r="J12" s="1"/>
      <x:c r="K12" s="1"/>
      <x:c r="L12" s="1"/>
      <x:c r="M12" s="1"/>
    </x:row>
    <x:row r="13" ht="99.9000015258789" customHeight="1">
      <x:c r="A13" s="1"/>
      <x:c r="B13" s="3" t="s">
        <x:v>101</x:v>
      </x:c>
      <x:c r="C13" s="3" t="s">
        <x:v>105</x:v>
      </x:c>
      <x:c r="D13" s="5" t="s">
        <x:v>162</x:v>
      </x:c>
      <x:c r="E13" s="3" t="s">
        <x:v>177</x:v>
      </x:c>
      <x:c r="F13" s="4" t="s">
        <x:v>180</x:v>
      </x:c>
      <x:c r="G13" s="22" t="s">
        <x:v>71</x:v>
      </x:c>
      <x:c r="H13" s="4" t="s">
        <x:v>181</x:v>
      </x:c>
      <x:c r="I13" s="1"/>
      <x:c r="J13" s="1"/>
      <x:c r="K13" s="1"/>
      <x:c r="L13" s="1"/>
      <x:c r="M13" s="1"/>
    </x:row>
    <x:row r="14" ht="99.9000015258789" customHeight="1">
      <x:c r="A14" s="1"/>
      <x:c r="B14" s="3" t="s">
        <x:v>101</x:v>
      </x:c>
      <x:c r="C14" s="3" t="s">
        <x:v>108</x:v>
      </x:c>
      <x:c r="D14" s="5" t="s">
        <x:v>177</x:v>
      </x:c>
      <x:c r="E14" s="3" t="s">
        <x:v>162</x:v>
      </x:c>
      <x:c r="F14" s="4" t="s">
        <x:v>182</x:v>
      </x:c>
      <x:c r="G14" s="22" t="s">
        <x:v>71</x:v>
      </x:c>
      <x:c r="H14" s="4" t="s">
        <x:v>183</x:v>
      </x:c>
      <x:c r="I14" s="1"/>
      <x:c r="J14" s="1"/>
      <x:c r="K14" s="1"/>
      <x:c r="L14" s="1"/>
      <x:c r="M14" s="1"/>
    </x:row>
    <x:row r="15" ht="99.9000015258789" customHeight="1">
      <x:c r="A15" s="1"/>
      <x:c r="B15" s="3" t="s">
        <x:v>39</x:v>
      </x:c>
      <x:c r="C15" s="3" t="s">
        <x:v>111</x:v>
      </x:c>
      <x:c r="D15" s="5" t="s">
        <x:v>170</x:v>
      </x:c>
      <x:c r="E15" s="3" t="s">
        <x:v>177</x:v>
      </x:c>
      <x:c r="F15" s="4" t="s">
        <x:v>184</x:v>
      </x:c>
      <x:c r="G15" s="22" t="s">
        <x:v>71</x:v>
      </x:c>
      <x:c r="H15" s="4" t="s">
        <x:v>185</x:v>
      </x:c>
      <x:c r="I15" s="1"/>
      <x:c r="J15" s="1"/>
      <x:c r="K15" s="1"/>
      <x:c r="L15" s="1"/>
      <x:c r="M15" s="1"/>
    </x:row>
    <x:row r="16" ht="99.9000015258789" customHeight="1">
      <x:c r="A16" s="1"/>
      <x:c r="B16" s="3" t="s">
        <x:v>39</x:v>
      </x:c>
      <x:c r="C16" s="3" t="s">
        <x:v>81</x:v>
      </x:c>
      <x:c r="D16" s="5" t="s">
        <x:v>170</x:v>
      </x:c>
      <x:c r="E16" s="3" t="s">
        <x:v>163</x:v>
      </x:c>
      <x:c r="F16" s="4" t="s">
        <x:v>186</x:v>
      </x:c>
      <x:c r="G16" s="22" t="s">
        <x:v>71</x:v>
      </x:c>
      <x:c r="H16" s="4" t="s">
        <x:v>187</x:v>
      </x:c>
      <x:c r="I16" s="1"/>
      <x:c r="J16" s="1"/>
      <x:c r="K16" s="1"/>
      <x:c r="L16" s="1"/>
      <x:c r="M16" s="1"/>
    </x:row>
    <x:row r="17" ht="99.9000015258789" customHeight="1">
      <x:c r="A17" s="1"/>
      <x:c r="B17" s="3" t="s">
        <x:v>39</x:v>
      </x:c>
      <x:c r="C17" s="3" t="s">
        <x:v>43</x:v>
      </x:c>
      <x:c r="D17" s="5" t="s">
        <x:v>170</x:v>
      </x:c>
      <x:c r="E17" s="3" t="s">
        <x:v>177</x:v>
      </x:c>
      <x:c r="F17" s="4" t="s">
        <x:v>188</x:v>
      </x:c>
      <x:c r="G17" s="22" t="s">
        <x:v>71</x:v>
      </x:c>
      <x:c r="H17" s="4" t="s">
        <x:v>189</x:v>
      </x:c>
      <x:c r="I17" s="1"/>
      <x:c r="J17" s="1"/>
      <x:c r="K17" s="1"/>
      <x:c r="L17" s="1"/>
      <x:c r="M17" s="1"/>
    </x:row>
    <x:row r="18" ht="99.9000015258789" customHeight="1">
      <x:c r="A18" s="1"/>
      <x:c r="B18" s="3" t="s">
        <x:v>118</x:v>
      </x:c>
      <x:c r="C18" s="3" t="s">
        <x:v>119</x:v>
      </x:c>
      <x:c r="D18" s="5" t="s">
        <x:v>170</x:v>
      </x:c>
      <x:c r="E18" s="3" t="s">
        <x:v>177</x:v>
      </x:c>
      <x:c r="F18" s="4" t="s">
        <x:v>190</x:v>
      </x:c>
      <x:c r="G18" s="22" t="s">
        <x:v>71</x:v>
      </x:c>
      <x:c r="H18" s="4" t="s">
        <x:v>191</x:v>
      </x:c>
      <x:c r="I18" s="1"/>
      <x:c r="J18" s="1"/>
      <x:c r="K18" s="1"/>
      <x:c r="L18" s="1"/>
      <x:c r="M18" s="1"/>
    </x:row>
    <x:row r="19" ht="99.9000015258789" customHeight="1">
      <x:c r="A19" s="1"/>
      <x:c r="B19" s="3" t="s">
        <x:v>118</x:v>
      </x:c>
      <x:c r="C19" s="3" t="s">
        <x:v>122</x:v>
      </x:c>
      <x:c r="D19" s="5" t="s">
        <x:v>170</x:v>
      </x:c>
      <x:c r="E19" s="3" t="s">
        <x:v>162</x:v>
      </x:c>
      <x:c r="F19" s="4" t="s">
        <x:v>192</x:v>
      </x:c>
      <x:c r="G19" s="22" t="s">
        <x:v>71</x:v>
      </x:c>
      <x:c r="H19" s="4" t="s">
        <x:v>193</x:v>
      </x:c>
      <x:c r="I19" s="1"/>
      <x:c r="J19" s="1"/>
      <x:c r="K19" s="1"/>
      <x:c r="L19" s="1"/>
      <x:c r="M19" s="1"/>
    </x:row>
    <x:row r="20" ht="99.9000015258789" customHeight="1">
      <x:c r="A20" s="1"/>
      <x:c r="B20" s="3" t="s">
        <x:v>118</x:v>
      </x:c>
      <x:c r="C20" s="3" t="s">
        <x:v>125</x:v>
      </x:c>
      <x:c r="D20" s="5" t="s">
        <x:v>177</x:v>
      </x:c>
      <x:c r="E20" s="3" t="s">
        <x:v>170</x:v>
      </x:c>
      <x:c r="F20" s="4" t="s">
        <x:v>194</x:v>
      </x:c>
      <x:c r="G20" s="22" t="s">
        <x:v>71</x:v>
      </x:c>
      <x:c r="H20" s="4" t="s">
        <x:v>195</x:v>
      </x:c>
      <x:c r="I20" s="1"/>
      <x:c r="J20" s="1"/>
      <x:c r="K20" s="1"/>
      <x:c r="L20" s="1"/>
      <x:c r="M20" s="1"/>
    </x:row>
    <x:row r="21" ht="99.9000015258789" customHeight="1">
      <x:c r="A21" s="1"/>
      <x:c r="B21" s="3" t="s">
        <x:v>128</x:v>
      </x:c>
      <x:c r="C21" s="3" t="s">
        <x:v>129</x:v>
      </x:c>
      <x:c r="D21" s="5" t="s">
        <x:v>177</x:v>
      </x:c>
      <x:c r="E21" s="3" t="s">
        <x:v>162</x:v>
      </x:c>
      <x:c r="F21" s="4" t="s">
        <x:v>196</x:v>
      </x:c>
      <x:c r="G21" s="22" t="s">
        <x:v>93</x:v>
      </x:c>
      <x:c r="H21" s="4" t="s">
        <x:v>197</x:v>
      </x:c>
      <x:c r="I21" s="1"/>
      <x:c r="J21" s="1"/>
      <x:c r="K21" s="1"/>
      <x:c r="L21" s="1"/>
      <x:c r="M21" s="1"/>
    </x:row>
    <x:row r="22" ht="99.9000015258789" customHeight="1">
      <x:c r="A22" s="1"/>
      <x:c r="B22" s="3" t="s">
        <x:v>128</x:v>
      </x:c>
      <x:c r="C22" s="3" t="s">
        <x:v>132</x:v>
      </x:c>
      <x:c r="D22" s="5" t="s">
        <x:v>162</x:v>
      </x:c>
      <x:c r="E22" s="3" t="s">
        <x:v>177</x:v>
      </x:c>
      <x:c r="F22" s="4" t="s">
        <x:v>198</x:v>
      </x:c>
      <x:c r="G22" s="22" t="s">
        <x:v>93</x:v>
      </x:c>
      <x:c r="H22" s="4" t="s">
        <x:v>199</x:v>
      </x:c>
      <x:c r="I22" s="1"/>
      <x:c r="J22" s="1"/>
      <x:c r="K22" s="1"/>
      <x:c r="L22" s="1"/>
      <x:c r="M22" s="1"/>
    </x:row>
    <x:row r="23" ht="99.9000015258789" customHeight="1">
      <x:c r="A23" s="1"/>
      <x:c r="B23" s="3" t="s">
        <x:v>128</x:v>
      </x:c>
      <x:c r="C23" s="3" t="s">
        <x:v>135</x:v>
      </x:c>
      <x:c r="D23" s="5" t="s">
        <x:v>170</x:v>
      </x:c>
      <x:c r="E23" s="3" t="s">
        <x:v>162</x:v>
      </x:c>
      <x:c r="F23" s="4" t="s">
        <x:v>200</x:v>
      </x:c>
      <x:c r="G23" s="22" t="s">
        <x:v>93</x:v>
      </x:c>
      <x:c r="H23" s="4" t="s">
        <x:v>201</x:v>
      </x:c>
      <x:c r="I23" s="1"/>
      <x:c r="J23" s="1"/>
      <x:c r="K23" s="1"/>
      <x:c r="L23" s="1"/>
      <x:c r="M23" s="1"/>
    </x:row>
    <x:row r="24" ht="99.9000015258789" customHeight="1">
      <x:c r="A24" s="1"/>
      <x:c r="B24" s="3" t="s">
        <x:v>149</x:v>
      </x:c>
      <x:c r="C24" s="3" t="s">
        <x:v>150</x:v>
      </x:c>
      <x:c r="D24" s="5" t="s">
        <x:v>170</x:v>
      </x:c>
      <x:c r="E24" s="3" t="s">
        <x:v>162</x:v>
      </x:c>
      <x:c r="F24" s="4" t="s">
        <x:v>202</x:v>
      </x:c>
      <x:c r="G24" s="22" t="s">
        <x:v>71</x:v>
      </x:c>
      <x:c r="H24" s="4" t="s">
        <x:v>203</x:v>
      </x:c>
      <x:c r="I24" s="1"/>
      <x:c r="J24" s="1"/>
      <x:c r="K24" s="1"/>
      <x:c r="L24" s="1"/>
      <x:c r="M24" s="1"/>
    </x:row>
    <x:row r="25" ht="99.9000015258789" customHeight="1">
      <x:c r="A25" s="1"/>
      <x:c r="B25" s="3" t="s">
        <x:v>149</x:v>
      </x:c>
      <x:c r="C25" s="3" t="s">
        <x:v>153</x:v>
      </x:c>
      <x:c r="D25" s="5" t="s">
        <x:v>162</x:v>
      </x:c>
      <x:c r="E25" s="3" t="s">
        <x:v>163</x:v>
      </x:c>
      <x:c r="F25" s="4" t="s">
        <x:v>204</x:v>
      </x:c>
      <x:c r="G25" s="22" t="s">
        <x:v>71</x:v>
      </x:c>
      <x:c r="H25" s="4" t="s">
        <x:v>205</x:v>
      </x:c>
      <x:c r="I25" s="1"/>
      <x:c r="J25" s="1"/>
      <x:c r="K25" s="1"/>
      <x:c r="L25" s="1"/>
      <x:c r="M25" s="1"/>
    </x:row>
    <x:row r="26" ht="99.9000015258789" customHeight="1">
      <x:c r="A26" s="1"/>
      <x:c r="B26" s="3" t="s">
        <x:v>149</x:v>
      </x:c>
      <x:c r="C26" s="3" t="s">
        <x:v>146</x:v>
      </x:c>
      <x:c r="D26" s="5" t="s">
        <x:v>163</x:v>
      </x:c>
      <x:c r="E26" s="3" t="s">
        <x:v>170</x:v>
      </x:c>
      <x:c r="F26" s="4" t="s">
        <x:v>206</x:v>
      </x:c>
      <x:c r="G26" s="22" t="s">
        <x:v>71</x:v>
      </x:c>
      <x:c r="H26" s="4" t="s">
        <x:v>207</x:v>
      </x:c>
      <x:c r="I26" s="1"/>
      <x:c r="J26" s="1"/>
      <x:c r="K26" s="1"/>
      <x:c r="L26" s="1"/>
      <x:c r="M26" s="1"/>
    </x:row>
    <x:row r="27" ht="99.9000015258789" customHeight="1">
      <x:c r="A27" s="1"/>
      <x:c r="B27" s="3" t="s">
        <x:v>138</x:v>
      </x:c>
      <x:c r="C27" s="3" t="s">
        <x:v>139</x:v>
      </x:c>
      <x:c r="D27" s="5" t="s">
        <x:v>163</x:v>
      </x:c>
      <x:c r="E27" s="3" t="s">
        <x:v>140</x:v>
      </x:c>
      <x:c r="F27" s="4" t="s">
        <x:v>208</x:v>
      </x:c>
      <x:c r="G27" s="22" t="s">
        <x:v>71</x:v>
      </x:c>
      <x:c r="H27" s="4" t="s">
        <x:v>209</x:v>
      </x:c>
      <x:c r="I27" s="1"/>
      <x:c r="J27" s="1"/>
      <x:c r="K27" s="1"/>
      <x:c r="L27" s="1"/>
      <x:c r="M27" s="1"/>
    </x:row>
    <x:row r="28" ht="99.9000015258789" customHeight="1">
      <x:c r="A28" s="1"/>
      <x:c r="B28" s="3" t="s">
        <x:v>138</x:v>
      </x:c>
      <x:c r="C28" s="3" t="s">
        <x:v>143</x:v>
      </x:c>
      <x:c r="D28" s="5" t="s">
        <x:v>163</x:v>
      </x:c>
      <x:c r="E28" s="3" t="s">
        <x:v>140</x:v>
      </x:c>
      <x:c r="F28" s="4" t="s">
        <x:v>210</x:v>
      </x:c>
      <x:c r="G28" s="22" t="s">
        <x:v>71</x:v>
      </x:c>
      <x:c r="H28" s="4" t="s">
        <x:v>211</x:v>
      </x:c>
      <x:c r="I28" s="1"/>
      <x:c r="J28" s="1"/>
      <x:c r="K28" s="1"/>
      <x:c r="L28" s="1"/>
      <x:c r="M28" s="1"/>
    </x:row>
    <x:row r="29" ht="99.9000015258789" customHeight="1">
      <x:c r="A29" s="1"/>
      <x:c r="B29" s="3" t="s">
        <x:v>138</x:v>
      </x:c>
      <x:c r="C29" s="3" t="s">
        <x:v>146</x:v>
      </x:c>
      <x:c r="D29" s="5" t="s">
        <x:v>163</x:v>
      </x:c>
      <x:c r="E29" s="3" t="s">
        <x:v>140</x:v>
      </x:c>
      <x:c r="F29" s="4" t="s">
        <x:v>212</x:v>
      </x:c>
      <x:c r="G29" s="22" t="s">
        <x:v>71</x:v>
      </x:c>
      <x:c r="H29" s="4" t="s">
        <x:v>213</x:v>
      </x:c>
      <x:c r="I29" s="1"/>
      <x:c r="J29" s="1"/>
      <x:c r="K29" s="1"/>
      <x:c r="L29" s="1"/>
      <x:c r="M29" s="1"/>
    </x:row>
    <x:row r="30" ht="21.899999618530273" customHeight="1">
      <x:c r="A30" s="1"/>
      <x:c r="B30" s="1"/>
      <x:c r="C30" s="1"/>
      <x:c r="D30" s="1"/>
      <x:c r="E30" s="1"/>
      <x:c r="F30" s="1"/>
      <x:c r="G30" s="1"/>
      <x:c r="H30" s="1"/>
      <x:c r="I30" s="1"/>
      <x:c r="J30" s="1"/>
      <x:c r="K30" s="1"/>
      <x:c r="L30" s="1"/>
    </x:row>
    <x:row r="31" ht="21.899999618530273" customHeight="1">
      <x:c r="A31" s="1"/>
      <x:c r="B31" s="1"/>
      <x:c r="C31" s="1"/>
      <x:c r="D31" s="1"/>
      <x:c r="E31" s="1"/>
      <x:c r="F31" s="1"/>
      <x:c r="G31" s="1"/>
      <x:c r="H31" s="1"/>
      <x:c r="I31" s="1"/>
      <x:c r="J31" s="1"/>
      <x:c r="K31" s="1"/>
      <x:c r="L31" s="1"/>
    </x:row>
    <x:row r="32" ht="21.899999618530273" customHeight="1">
      <x:c r="A32" s="1"/>
      <x:c r="B32" s="64" t="s">
        <x:v>214</x:v>
      </x:c>
      <x:c r="C32" s="64"/>
      <x:c r="D32" s="64"/>
      <x:c r="E32" s="64"/>
      <x:c r="F32" s="64"/>
      <x:c r="G32" s="64"/>
      <x:c r="H32" s="1"/>
      <x:c r="I32" s="1"/>
      <x:c r="J32" s="1"/>
      <x:c r="K32" s="1"/>
      <x:c r="L32" s="1"/>
    </x:row>
    <x:row r="33" ht="21.899999618530273" customHeight="1">
      <x:c r="A33" s="1"/>
      <x:c r="B33" s="64"/>
      <x:c r="C33" s="64"/>
      <x:c r="D33" s="64"/>
      <x:c r="E33" s="64"/>
      <x:c r="F33" s="64"/>
      <x:c r="G33" s="64"/>
      <x:c r="H33" s="1"/>
      <x:c r="I33" s="1"/>
      <x:c r="J33" s="1"/>
      <x:c r="K33" s="1"/>
      <x:c r="L33" s="1"/>
    </x:row>
    <x:row r="34" ht="21.899999618530273" customHeight="1">
      <x:c r="A34" s="1"/>
      <x:c r="B34" s="1"/>
      <x:c r="C34" s="1"/>
      <x:c r="D34" s="1"/>
      <x:c r="E34" s="1"/>
      <x:c r="F34" s="1"/>
      <x:c r="G34" s="1"/>
      <x:c r="H34" s="1"/>
      <x:c r="I34" s="1"/>
      <x:c r="J34" s="1"/>
      <x:c r="K34" s="1"/>
      <x:c r="L34" s="1"/>
    </x:row>
    <x:row r="35" ht="21.899999618530273" customHeight="1">
      <x:c r="A35" s="1"/>
      <x:c r="B35" s="6" t="s">
        <x:v>159</x:v>
      </x:c>
      <x:c r="C35" s="1"/>
      <x:c r="D35" s="1"/>
      <x:c r="E35" s="1"/>
      <x:c r="F35" s="1"/>
      <x:c r="G35" s="1"/>
      <x:c r="H35" s="1"/>
      <x:c r="I35" s="1"/>
      <x:c r="J35" s="1"/>
      <x:c r="K35" s="1"/>
      <x:c r="L35" s="1"/>
    </x:row>
    <x:row r="36" ht="21.899999618530273" customHeight="1">
      <x:c r="A36" s="1"/>
      <x:c r="B36" s="1"/>
      <x:c r="C36" s="1"/>
      <x:c r="D36" s="1"/>
      <x:c r="E36" s="1"/>
      <x:c r="F36" s="1"/>
      <x:c r="G36" s="1"/>
      <x:c r="H36" s="1"/>
      <x:c r="I36" s="1"/>
      <x:c r="J36" s="1"/>
      <x:c r="K36" s="1"/>
      <x:c r="L36" s="1"/>
    </x:row>
    <x:row r="37" ht="21.899999618530273" customHeight="1">
      <x:c r="A37" s="1"/>
      <x:c r="B37" s="47" t="s">
        <x:v>62</x:v>
      </x:c>
      <x:c r="C37" s="47"/>
      <x:c r="D37" s="47"/>
      <x:c r="E37" s="47"/>
      <x:c r="F37" s="47"/>
      <x:c r="G37" s="47"/>
      <x:c r="H37" s="1"/>
      <x:c r="I37" s="1"/>
      <x:c r="J37" s="1"/>
      <x:c r="K37" s="1"/>
      <x:c r="L37" s="1"/>
    </x:row>
    <x:row r="38" ht="21.899999618530273" customHeight="1">
      <x:c r="A38" s="1"/>
      <x:c r="B38" s="1"/>
      <x:c r="C38" s="1"/>
      <x:c r="D38" s="1"/>
      <x:c r="E38" s="1"/>
      <x:c r="F38" s="1"/>
      <x:c r="G38" s="1"/>
      <x:c r="H38" s="1"/>
      <x:c r="I38" s="1"/>
      <x:c r="J38" s="1"/>
      <x:c r="K38" s="1"/>
      <x:c r="L38" s="1"/>
    </x:row>
    <x:row r="39" ht="21.899999618530273" customHeight="1">
      <x:c r="A39" s="1"/>
      <x:c r="B39" s="1"/>
      <x:c r="C39" s="1"/>
      <x:c r="D39" s="1"/>
      <x:c r="E39" s="1"/>
      <x:c r="F39" s="1"/>
      <x:c r="G39" s="1"/>
      <x:c r="H39" s="1"/>
      <x:c r="I39" s="1"/>
      <x:c r="J39" s="1"/>
      <x:c r="K39" s="1"/>
      <x:c r="L39" s="1"/>
    </x:row>
    <x:row r="40" ht="21.899999618530273" customHeight="1">
      <x:c r="A40" s="1"/>
      <x:c r="B40" s="1"/>
      <x:c r="C40" s="1"/>
      <x:c r="D40" s="1"/>
      <x:c r="E40" s="1"/>
      <x:c r="F40" s="1"/>
      <x:c r="G40" s="1"/>
      <x:c r="H40" s="1"/>
      <x:c r="I40" s="1"/>
      <x:c r="J40" s="1"/>
      <x:c r="K40" s="1"/>
      <x:c r="L40" s="1"/>
    </x:row>
    <x:row r="41" ht="21.899999618530273" customHeight="1">
      <x:c r="A41" s="1"/>
      <x:c r="B41" s="1"/>
      <x:c r="C41" s="1"/>
      <x:c r="D41" s="1"/>
      <x:c r="E41" s="1"/>
      <x:c r="F41" s="1"/>
      <x:c r="G41" s="1"/>
      <x:c r="H41" s="1"/>
      <x:c r="I41" s="1"/>
      <x:c r="J41" s="1"/>
      <x:c r="K41" s="1"/>
      <x:c r="L41" s="1"/>
    </x:row>
    <x:row r="42" ht="21.899999618530273" customHeight="1">
      <x:c r="A42" s="1"/>
      <x:c r="B42" s="1"/>
      <x:c r="C42" s="1"/>
      <x:c r="D42" s="1"/>
      <x:c r="E42" s="1"/>
      <x:c r="F42" s="1"/>
      <x:c r="G42" s="1"/>
      <x:c r="H42" s="1"/>
      <x:c r="I42" s="1"/>
      <x:c r="J42" s="1"/>
      <x:c r="K42" s="1"/>
      <x:c r="L42" s="1"/>
    </x:row>
    <x:row r="43" ht="21.899999618530273" customHeight="1">
      <x:c r="A43" s="1"/>
      <x:c r="B43" s="1"/>
      <x:c r="C43" s="1"/>
      <x:c r="D43" s="1"/>
      <x:c r="E43" s="1"/>
      <x:c r="F43" s="1"/>
      <x:c r="G43" s="1"/>
      <x:c r="H43" s="1"/>
      <x:c r="I43" s="1"/>
      <x:c r="J43" s="1"/>
      <x:c r="K43" s="1"/>
      <x:c r="L43" s="1"/>
    </x:row>
    <x:row r="44" ht="21.899999618530273" customHeight="1">
      <x:c r="A44" s="1"/>
      <x:c r="B44" s="1"/>
      <x:c r="C44" s="1"/>
      <x:c r="D44" s="1"/>
      <x:c r="E44" s="1"/>
      <x:c r="F44" s="1"/>
      <x:c r="G44" s="1"/>
      <x:c r="H44" s="1"/>
      <x:c r="I44" s="1"/>
      <x:c r="J44" s="1"/>
      <x:c r="K44" s="1"/>
      <x:c r="L44" s="1"/>
    </x:row>
    <x:row r="45" ht="21.899999618530273" customHeight="1">
      <x:c r="A45" s="1"/>
      <x:c r="B45" s="1"/>
      <x:c r="C45" s="1"/>
      <x:c r="D45" s="1"/>
      <x:c r="E45" s="1"/>
      <x:c r="F45" s="1"/>
      <x:c r="G45" s="1"/>
      <x:c r="H45" s="1"/>
      <x:c r="I45" s="1"/>
      <x:c r="J45" s="1"/>
      <x:c r="K45" s="1"/>
      <x:c r="L45" s="1"/>
    </x:row>
  </x:sheetData>
  <x:mergeCells>
    <x:mergeCell ref="B32:G33"/>
    <x:mergeCell ref="B37:G37"/>
    <x:mergeCell ref="B1:H1"/>
    <x:mergeCell ref="B3:H3"/>
  </x:mergeCells>
  <x:hyperlinks>
    <x:hyperlink ref="B35" location="'Selector'!B1"/>
  </x:hyperlinks>
  <x:pageMargins left="0.7" right="0.7" top="0.75" bottom="0.75" header="0.3" footer="0.3"/>
  <x:tableParts count="1">
    <x:tablePart xmlns:r="http://schemas.openxmlformats.org/officeDocument/2006/relationships" r:id="R06cfa6104c324b38"/>
  </x:tableParts>
</x:worksheet>
</file>

<file path=xl/worksheets/sheet5.xml><?xml version="1.0" encoding="utf-8"?>
<x:worksheet xmlns:x="http://schemas.openxmlformats.org/spreadsheetml/2006/main">
  <x:sheetPr>
    <x:tabColor rgb="FF718096"/>
  </x:sheetPr>
  <x:sheetViews>
    <x:sheetView showGridLines="0" workbookViewId="0">
      <x:pane ySplit="1" topLeftCell="A2" activePane="bottomLeft" state="frozen"/>
    </x:sheetView>
  </x:sheetViews>
  <x:sheetFormatPr baseColWidth="10" defaultRowHeight="14.399999618530273"/>
  <x:cols>
    <x:col min="1" max="1" width="4.109375" customWidth="1"/>
    <x:col min="2" max="2" width="19" customWidth="1"/>
    <x:col min="3" max="4" width="57.109375" customWidth="1"/>
    <x:col min="5" max="5" width="21.88671875" customWidth="1"/>
    <x:col min="6" max="6" width="49.5546875" customWidth="1"/>
    <x:col min="7" max="7" width="41.88671875" customWidth="1"/>
  </x:cols>
  <x:sheetData>
    <x:row r="1" ht="45.900001525878906" customHeight="1">
      <x:c r="A1" s="1"/>
      <x:c r="B1" s="61" t="s">
        <x:v>215</x:v>
      </x:c>
      <x:c r="C1" s="61"/>
      <x:c r="D1" s="61"/>
      <x:c r="E1" s="61"/>
      <x:c r="F1" s="61"/>
      <x:c r="G1" s="61"/>
      <x:c r="H1" s="1"/>
      <x:c r="I1" s="1"/>
      <x:c r="J1" s="1"/>
      <x:c r="K1" s="1"/>
      <x:c r="L1" s="1"/>
    </x:row>
    <x:row r="2" ht="21.899999618530273" customHeight="1">
      <x:c r="A2" s="1"/>
      <x:c r="B2" s="1"/>
      <x:c r="C2" s="1"/>
      <x:c r="D2" s="1"/>
      <x:c r="E2" s="1"/>
      <x:c r="F2" s="1"/>
      <x:c r="G2" s="1"/>
      <x:c r="H2" s="1"/>
      <x:c r="I2" s="1"/>
      <x:c r="J2" s="1"/>
      <x:c r="K2" s="1"/>
      <x:c r="L2" s="1"/>
    </x:row>
    <x:row r="3" ht="21.899999618530273" customHeight="1">
      <x:c r="A3" s="1"/>
      <x:c r="B3" s="68" t="s">
        <x:v>216</x:v>
      </x:c>
      <x:c r="C3" s="68"/>
      <x:c r="D3" s="68"/>
      <x:c r="E3" s="68"/>
      <x:c r="F3" s="68"/>
      <x:c r="G3" s="68"/>
      <x:c r="H3" s="1"/>
      <x:c r="I3" s="1"/>
      <x:c r="J3" s="1"/>
      <x:c r="K3" s="1"/>
      <x:c r="L3" s="1"/>
    </x:row>
    <x:row r="4" ht="21.899999618530273" customHeight="1">
      <x:c r="A4" s="1"/>
      <x:c r="B4" s="1"/>
      <x:c r="C4" s="1"/>
      <x:c r="D4" s="1"/>
      <x:c r="E4" s="1"/>
      <x:c r="F4" s="1"/>
      <x:c r="G4" s="1"/>
      <x:c r="H4" s="1"/>
      <x:c r="I4" s="1"/>
      <x:c r="J4" s="1"/>
      <x:c r="K4" s="1"/>
      <x:c r="L4" s="1"/>
    </x:row>
    <x:row r="5" ht="38.099998474121094" customHeight="1">
      <x:c r="A5" s="1"/>
      <x:c r="B5" s="38" t="s">
        <x:v>217</x:v>
      </x:c>
      <x:c r="C5" s="38" t="s">
        <x:v>218</x:v>
      </x:c>
      <x:c r="D5" s="38" t="s">
        <x:v>219</x:v>
      </x:c>
      <x:c r="E5" s="23" t="s">
        <x:v>220</x:v>
      </x:c>
      <x:c r="F5" s="38" t="s">
        <x:v>221</x:v>
      </x:c>
      <x:c r="G5" s="38" t="s">
        <x:v>222</x:v>
      </x:c>
      <x:c r="H5" s="1"/>
      <x:c r="I5" s="1"/>
      <x:c r="J5" s="1"/>
      <x:c r="K5" s="1"/>
      <x:c r="L5" s="1"/>
      <x:c r="M5" s="1"/>
    </x:row>
    <x:row r="6" ht="111.9000015258789" customHeight="1">
      <x:c r="A6" s="1"/>
      <x:c r="B6" s="3" t="s">
        <x:v>68</x:v>
      </x:c>
      <x:c r="C6" s="4" t="s">
        <x:v>223</x:v>
      </x:c>
      <x:c r="D6" s="4" t="s">
        <x:v>224</x:v>
      </x:c>
      <x:c r="E6" s="21" t="s">
        <x:v>71</x:v>
      </x:c>
      <x:c r="F6" s="4" t="s">
        <x:v>225</x:v>
      </x:c>
      <x:c r="G6" s="4" t="s">
        <x:v>226</x:v>
      </x:c>
      <x:c r="H6" s="1"/>
      <x:c r="I6" s="1"/>
      <x:c r="J6" s="1"/>
      <x:c r="K6" s="1"/>
      <x:c r="L6" s="1"/>
      <x:c r="M6" s="1"/>
    </x:row>
    <x:row r="7" ht="111.9000015258789" customHeight="1">
      <x:c r="A7" s="1"/>
      <x:c r="B7" s="3" t="s">
        <x:v>69</x:v>
      </x:c>
      <x:c r="C7" s="4" t="s">
        <x:v>227</x:v>
      </x:c>
      <x:c r="D7" s="4" t="s">
        <x:v>228</x:v>
      </x:c>
      <x:c r="E7" s="21" t="s">
        <x:v>71</x:v>
      </x:c>
      <x:c r="F7" s="4" t="s">
        <x:v>229</x:v>
      </x:c>
      <x:c r="G7" s="4" t="s">
        <x:v>230</x:v>
      </x:c>
      <x:c r="H7" s="1"/>
      <x:c r="I7" s="1"/>
      <x:c r="J7" s="1"/>
      <x:c r="K7" s="1"/>
      <x:c r="L7" s="1"/>
      <x:c r="M7" s="1"/>
    </x:row>
    <x:row r="8" ht="111.9000015258789" customHeight="1">
      <x:c r="A8" s="1"/>
      <x:c r="B8" s="3" t="s">
        <x:v>77</x:v>
      </x:c>
      <x:c r="C8" s="4" t="s">
        <x:v>231</x:v>
      </x:c>
      <x:c r="D8" s="4" t="s">
        <x:v>232</x:v>
      </x:c>
      <x:c r="E8" s="21" t="s">
        <x:v>71</x:v>
      </x:c>
      <x:c r="F8" s="4" t="s">
        <x:v>233</x:v>
      </x:c>
      <x:c r="G8" s="4" t="s">
        <x:v>234</x:v>
      </x:c>
      <x:c r="H8" s="1"/>
      <x:c r="I8" s="1"/>
      <x:c r="J8" s="1"/>
      <x:c r="K8" s="1"/>
      <x:c r="L8" s="1"/>
      <x:c r="M8" s="1"/>
    </x:row>
    <x:row r="9" ht="111.9000015258789" customHeight="1">
      <x:c r="A9" s="1"/>
      <x:c r="B9" s="3" t="s">
        <x:v>91</x:v>
      </x:c>
      <x:c r="C9" s="4" t="s">
        <x:v>235</x:v>
      </x:c>
      <x:c r="D9" s="4" t="s">
        <x:v>236</x:v>
      </x:c>
      <x:c r="E9" s="21" t="s">
        <x:v>93</x:v>
      </x:c>
      <x:c r="F9" s="4" t="s">
        <x:v>237</x:v>
      </x:c>
      <x:c r="G9" s="4" t="s">
        <x:v>238</x:v>
      </x:c>
      <x:c r="H9" s="1"/>
      <x:c r="I9" s="1"/>
      <x:c r="J9" s="1"/>
      <x:c r="K9" s="1"/>
      <x:c r="L9" s="1"/>
      <x:c r="M9" s="1"/>
    </x:row>
    <x:row r="10" ht="111.9000015258789" customHeight="1">
      <x:c r="A10" s="1"/>
      <x:c r="B10" s="3" t="s">
        <x:v>162</x:v>
      </x:c>
      <x:c r="C10" s="4" t="s">
        <x:v>239</x:v>
      </x:c>
      <x:c r="D10" s="4" t="s">
        <x:v>240</x:v>
      </x:c>
      <x:c r="E10" s="21" t="s">
        <x:v>71</x:v>
      </x:c>
      <x:c r="F10" s="4" t="s">
        <x:v>241</x:v>
      </x:c>
      <x:c r="G10" s="4" t="s">
        <x:v>242</x:v>
      </x:c>
      <x:c r="H10" s="1"/>
      <x:c r="I10" s="1"/>
      <x:c r="J10" s="1"/>
      <x:c r="K10" s="1"/>
      <x:c r="L10" s="1"/>
      <x:c r="M10" s="1"/>
    </x:row>
    <x:row r="11" ht="111.9000015258789" customHeight="1">
      <x:c r="A11" s="1"/>
      <x:c r="B11" s="3" t="s">
        <x:v>163</x:v>
      </x:c>
      <x:c r="C11" s="4" t="s">
        <x:v>243</x:v>
      </x:c>
      <x:c r="D11" s="4" t="s">
        <x:v>244</x:v>
      </x:c>
      <x:c r="E11" s="21" t="s">
        <x:v>71</x:v>
      </x:c>
      <x:c r="F11" s="4" t="s">
        <x:v>245</x:v>
      </x:c>
      <x:c r="G11" s="4" t="s">
        <x:v>246</x:v>
      </x:c>
      <x:c r="H11" s="1"/>
      <x:c r="I11" s="1"/>
      <x:c r="J11" s="1"/>
      <x:c r="K11" s="1"/>
      <x:c r="L11" s="1"/>
      <x:c r="M11" s="1"/>
    </x:row>
    <x:row r="12" ht="111.9000015258789" customHeight="1">
      <x:c r="A12" s="1"/>
      <x:c r="B12" s="3" t="s">
        <x:v>170</x:v>
      </x:c>
      <x:c r="C12" s="4" t="s">
        <x:v>247</x:v>
      </x:c>
      <x:c r="D12" s="4" t="s">
        <x:v>248</x:v>
      </x:c>
      <x:c r="E12" s="21" t="s">
        <x:v>93</x:v>
      </x:c>
      <x:c r="F12" s="4" t="s">
        <x:v>249</x:v>
      </x:c>
      <x:c r="G12" s="4" t="s">
        <x:v>250</x:v>
      </x:c>
      <x:c r="H12" s="1"/>
      <x:c r="I12" s="1"/>
      <x:c r="J12" s="1"/>
      <x:c r="K12" s="1"/>
      <x:c r="L12" s="1"/>
      <x:c r="M12" s="1"/>
    </x:row>
    <x:row r="13" ht="111.9000015258789" customHeight="1">
      <x:c r="A13" s="1"/>
      <x:c r="B13" s="3" t="s">
        <x:v>177</x:v>
      </x:c>
      <x:c r="C13" s="4" t="s">
        <x:v>251</x:v>
      </x:c>
      <x:c r="D13" s="4" t="s">
        <x:v>252</x:v>
      </x:c>
      <x:c r="E13" s="21" t="s">
        <x:v>71</x:v>
      </x:c>
      <x:c r="F13" s="4" t="s">
        <x:v>253</x:v>
      </x:c>
      <x:c r="G13" s="4" t="s">
        <x:v>254</x:v>
      </x:c>
      <x:c r="H13" s="1"/>
      <x:c r="I13" s="1"/>
      <x:c r="J13" s="1"/>
      <x:c r="K13" s="1"/>
      <x:c r="L13" s="1"/>
      <x:c r="M13" s="1"/>
    </x:row>
    <x:row r="14" ht="21.899999618530273" customHeight="1">
      <x:c r="A14" s="1"/>
      <x:c r="B14" s="1"/>
      <x:c r="C14" s="1"/>
      <x:c r="D14" s="1"/>
      <x:c r="E14" s="1"/>
      <x:c r="F14" s="1"/>
      <x:c r="G14" s="1"/>
      <x:c r="H14" s="1"/>
      <x:c r="I14" s="1"/>
      <x:c r="J14" s="1"/>
      <x:c r="K14" s="1"/>
      <x:c r="L14" s="1"/>
    </x:row>
    <x:row r="15" ht="21.899999618530273" customHeight="1">
      <x:c r="A15" s="1"/>
      <x:c r="B15" s="1"/>
      <x:c r="C15" s="1"/>
      <x:c r="D15" s="1"/>
      <x:c r="E15" s="1"/>
      <x:c r="F15" s="1"/>
      <x:c r="G15" s="1"/>
      <x:c r="H15" s="1"/>
      <x:c r="I15" s="1"/>
      <x:c r="J15" s="1"/>
      <x:c r="K15" s="1"/>
      <x:c r="L15" s="1"/>
    </x:row>
    <x:row r="16" ht="21.899999618530273" customHeight="1">
      <x:c r="A16" s="1"/>
      <x:c r="B16" s="64" t="s">
        <x:v>255</x:v>
      </x:c>
      <x:c r="C16" s="64"/>
      <x:c r="D16" s="64"/>
      <x:c r="E16" s="64"/>
      <x:c r="F16" s="64"/>
      <x:c r="G16" s="1"/>
      <x:c r="H16" s="1"/>
      <x:c r="I16" s="1"/>
      <x:c r="J16" s="1"/>
      <x:c r="K16" s="1"/>
      <x:c r="L16" s="1"/>
    </x:row>
    <x:row r="17" ht="21.899999618530273" customHeight="1">
      <x:c r="A17" s="1"/>
      <x:c r="B17" s="64"/>
      <x:c r="C17" s="64"/>
      <x:c r="D17" s="64"/>
      <x:c r="E17" s="64"/>
      <x:c r="F17" s="64"/>
      <x:c r="G17" s="1"/>
      <x:c r="H17" s="1"/>
      <x:c r="I17" s="1"/>
      <x:c r="J17" s="1"/>
      <x:c r="K17" s="1"/>
      <x:c r="L17" s="1"/>
    </x:row>
    <x:row r="18" ht="21.899999618530273" customHeight="1">
      <x:c r="A18" s="1"/>
      <x:c r="B18" s="1"/>
      <x:c r="C18" s="1"/>
      <x:c r="D18" s="1"/>
      <x:c r="E18" s="1"/>
      <x:c r="F18" s="1"/>
      <x:c r="G18" s="1"/>
      <x:c r="H18" s="1"/>
      <x:c r="I18" s="1"/>
      <x:c r="J18" s="1"/>
      <x:c r="K18" s="1"/>
      <x:c r="L18" s="1"/>
    </x:row>
    <x:row r="19" ht="21.899999618530273" customHeight="1">
      <x:c r="A19" s="1"/>
      <x:c r="B19" s="64" t="s">
        <x:v>256</x:v>
      </x:c>
      <x:c r="C19" s="64"/>
      <x:c r="D19" s="64"/>
      <x:c r="E19" s="64"/>
      <x:c r="F19" s="64"/>
      <x:c r="G19" s="1"/>
      <x:c r="H19" s="1"/>
      <x:c r="I19" s="1"/>
      <x:c r="J19" s="1"/>
      <x:c r="K19" s="1"/>
      <x:c r="L19" s="1"/>
    </x:row>
    <x:row r="20" ht="21.899999618530273" customHeight="1">
      <x:c r="A20" s="1"/>
      <x:c r="B20" s="64"/>
      <x:c r="C20" s="64"/>
      <x:c r="D20" s="64"/>
      <x:c r="E20" s="64"/>
      <x:c r="F20" s="64"/>
      <x:c r="G20" s="1"/>
      <x:c r="H20" s="1"/>
      <x:c r="I20" s="1"/>
      <x:c r="J20" s="1"/>
      <x:c r="K20" s="1"/>
      <x:c r="L20" s="1"/>
    </x:row>
    <x:row r="21" ht="21.899999618530273" customHeight="1">
      <x:c r="A21" s="1"/>
      <x:c r="B21" s="1"/>
      <x:c r="C21" s="1"/>
      <x:c r="D21" s="1"/>
      <x:c r="E21" s="1"/>
      <x:c r="F21" s="1"/>
      <x:c r="G21" s="1"/>
      <x:c r="H21" s="1"/>
      <x:c r="I21" s="1"/>
      <x:c r="J21" s="1"/>
      <x:c r="K21" s="1"/>
      <x:c r="L21" s="1"/>
    </x:row>
    <x:row r="22" ht="21.899999618530273" customHeight="1">
      <x:c r="A22" s="1"/>
      <x:c r="B22" s="1"/>
      <x:c r="C22" s="1"/>
      <x:c r="D22" s="1"/>
      <x:c r="E22" s="1"/>
      <x:c r="F22" s="1"/>
      <x:c r="G22" s="1"/>
      <x:c r="H22" s="1"/>
      <x:c r="I22" s="1"/>
      <x:c r="J22" s="1"/>
      <x:c r="K22" s="1"/>
      <x:c r="L22" s="1"/>
    </x:row>
    <x:row r="23" ht="21.899999618530273" customHeight="1">
      <x:c r="A23" s="1"/>
      <x:c r="B23" s="6" t="s">
        <x:v>159</x:v>
      </x:c>
      <x:c r="C23" s="1"/>
      <x:c r="D23" s="1"/>
      <x:c r="E23" s="1"/>
      <x:c r="F23" s="1"/>
      <x:c r="G23" s="1"/>
      <x:c r="H23" s="1"/>
      <x:c r="I23" s="1"/>
      <x:c r="J23" s="1"/>
      <x:c r="K23" s="1"/>
      <x:c r="L23" s="1"/>
    </x:row>
    <x:row r="24" ht="21.899999618530273" customHeight="1">
      <x:c r="A24" s="1"/>
      <x:c r="B24" s="1"/>
      <x:c r="C24" s="1"/>
      <x:c r="D24" s="1"/>
      <x:c r="E24" s="1"/>
      <x:c r="F24" s="1"/>
      <x:c r="G24" s="1"/>
      <x:c r="H24" s="1"/>
      <x:c r="I24" s="1"/>
      <x:c r="J24" s="1"/>
      <x:c r="K24" s="1"/>
      <x:c r="L24" s="1"/>
    </x:row>
    <x:row r="25" ht="21.899999618530273" customHeight="1">
      <x:c r="A25" s="1"/>
      <x:c r="B25" s="47" t="s">
        <x:v>62</x:v>
      </x:c>
      <x:c r="C25" s="47"/>
      <x:c r="D25" s="47"/>
      <x:c r="E25" s="47"/>
      <x:c r="F25" s="47"/>
      <x:c r="G25" s="1"/>
      <x:c r="H25" s="1"/>
      <x:c r="I25" s="1"/>
      <x:c r="J25" s="1"/>
      <x:c r="K25" s="1"/>
      <x:c r="L25" s="1"/>
    </x:row>
    <x:row r="26" ht="21.899999618530273" customHeight="1">
      <x:c r="A26" s="1"/>
      <x:c r="B26" s="1"/>
      <x:c r="C26" s="1"/>
      <x:c r="D26" s="1"/>
      <x:c r="E26" s="1"/>
      <x:c r="F26" s="1"/>
      <x:c r="G26" s="1"/>
      <x:c r="H26" s="1"/>
      <x:c r="I26" s="1"/>
      <x:c r="J26" s="1"/>
      <x:c r="K26" s="1"/>
      <x:c r="L26" s="1"/>
    </x:row>
    <x:row r="27" ht="21.899999618530273" customHeight="1">
      <x:c r="A27" s="1"/>
      <x:c r="B27" s="1"/>
      <x:c r="C27" s="1"/>
      <x:c r="D27" s="1"/>
      <x:c r="E27" s="1"/>
      <x:c r="F27" s="1"/>
      <x:c r="G27" s="1"/>
      <x:c r="H27" s="1"/>
      <x:c r="I27" s="1"/>
      <x:c r="J27" s="1"/>
      <x:c r="K27" s="1"/>
      <x:c r="L27" s="1"/>
    </x:row>
    <x:row r="28" ht="21.899999618530273" customHeight="1">
      <x:c r="A28" s="1"/>
      <x:c r="B28" s="1"/>
      <x:c r="C28" s="1"/>
      <x:c r="D28" s="1"/>
      <x:c r="E28" s="1"/>
      <x:c r="F28" s="1"/>
      <x:c r="G28" s="1"/>
      <x:c r="H28" s="1"/>
      <x:c r="I28" s="1"/>
      <x:c r="J28" s="1"/>
      <x:c r="K28" s="1"/>
      <x:c r="L28" s="1"/>
    </x:row>
    <x:row r="29" ht="21.899999618530273" customHeight="1">
      <x:c r="A29" s="1"/>
      <x:c r="B29" s="1"/>
      <x:c r="C29" s="1"/>
      <x:c r="D29" s="1"/>
      <x:c r="E29" s="1"/>
      <x:c r="F29" s="1"/>
      <x:c r="G29" s="1"/>
      <x:c r="H29" s="1"/>
      <x:c r="I29" s="1"/>
      <x:c r="J29" s="1"/>
      <x:c r="K29" s="1"/>
      <x:c r="L29" s="1"/>
    </x:row>
    <x:row r="30" ht="21.899999618530273" customHeight="1">
      <x:c r="A30" s="1"/>
      <x:c r="B30" s="1"/>
      <x:c r="C30" s="1"/>
      <x:c r="D30" s="1"/>
      <x:c r="E30" s="1"/>
      <x:c r="F30" s="1"/>
      <x:c r="G30" s="1"/>
      <x:c r="H30" s="1"/>
      <x:c r="I30" s="1"/>
      <x:c r="J30" s="1"/>
      <x:c r="K30" s="1"/>
      <x:c r="L30" s="1"/>
    </x:row>
    <x:row r="31" ht="21.899999618530273" customHeight="1">
      <x:c r="A31" s="1"/>
      <x:c r="B31" s="1"/>
      <x:c r="C31" s="1"/>
      <x:c r="D31" s="1"/>
      <x:c r="E31" s="1"/>
      <x:c r="F31" s="1"/>
      <x:c r="G31" s="1"/>
      <x:c r="H31" s="1"/>
      <x:c r="I31" s="1"/>
      <x:c r="J31" s="1"/>
      <x:c r="K31" s="1"/>
      <x:c r="L31" s="1"/>
    </x:row>
    <x:row r="32" ht="21.899999618530273" customHeight="1">
      <x:c r="A32" s="1"/>
      <x:c r="B32" s="1"/>
      <x:c r="C32" s="1"/>
      <x:c r="D32" s="1"/>
      <x:c r="E32" s="1"/>
      <x:c r="F32" s="1"/>
      <x:c r="G32" s="1"/>
      <x:c r="H32" s="1"/>
      <x:c r="I32" s="1"/>
      <x:c r="J32" s="1"/>
      <x:c r="K32" s="1"/>
      <x:c r="L32" s="1"/>
    </x:row>
    <x:row r="33" ht="21.899999618530273" customHeight="1">
      <x:c r="A33" s="1"/>
      <x:c r="B33" s="1"/>
      <x:c r="C33" s="1"/>
      <x:c r="D33" s="1"/>
      <x:c r="E33" s="1"/>
      <x:c r="F33" s="1"/>
      <x:c r="G33" s="1"/>
      <x:c r="H33" s="1"/>
      <x:c r="I33" s="1"/>
      <x:c r="J33" s="1"/>
      <x:c r="K33" s="1"/>
      <x:c r="L33" s="1"/>
    </x:row>
    <x:row r="34" ht="21.899999618530273" customHeight="1">
      <x:c r="A34" s="1"/>
      <x:c r="B34" s="1"/>
      <x:c r="C34" s="1"/>
      <x:c r="D34" s="1"/>
      <x:c r="E34" s="1"/>
      <x:c r="F34" s="1"/>
      <x:c r="G34" s="1"/>
      <x:c r="H34" s="1"/>
      <x:c r="I34" s="1"/>
      <x:c r="J34" s="1"/>
      <x:c r="K34" s="1"/>
      <x:c r="L34" s="1"/>
    </x:row>
    <x:row r="35" ht="21.899999618530273" customHeight="1">
      <x:c r="A35" s="1"/>
      <x:c r="B35" s="1"/>
      <x:c r="C35" s="1"/>
      <x:c r="D35" s="1"/>
      <x:c r="E35" s="1"/>
      <x:c r="F35" s="1"/>
      <x:c r="G35" s="1"/>
      <x:c r="H35" s="1"/>
      <x:c r="I35" s="1"/>
      <x:c r="J35" s="1"/>
      <x:c r="K35" s="1"/>
      <x:c r="L35" s="1"/>
    </x:row>
    <x:row r="36" ht="21.899999618530273" customHeight="1">
      <x:c r="A36" s="1"/>
      <x:c r="B36" s="1"/>
      <x:c r="C36" s="1"/>
      <x:c r="D36" s="1"/>
      <x:c r="E36" s="1"/>
      <x:c r="F36" s="1"/>
      <x:c r="G36" s="1"/>
      <x:c r="H36" s="1"/>
      <x:c r="I36" s="1"/>
      <x:c r="J36" s="1"/>
      <x:c r="K36" s="1"/>
      <x:c r="L36" s="1"/>
    </x:row>
    <x:row r="37" ht="21.899999618530273" customHeight="1">
      <x:c r="A37" s="1"/>
      <x:c r="B37" s="1"/>
      <x:c r="C37" s="1"/>
      <x:c r="D37" s="1"/>
      <x:c r="E37" s="1"/>
      <x:c r="F37" s="1"/>
      <x:c r="G37" s="1"/>
      <x:c r="H37" s="1"/>
      <x:c r="I37" s="1"/>
      <x:c r="J37" s="1"/>
      <x:c r="K37" s="1"/>
      <x:c r="L37" s="1"/>
    </x:row>
    <x:row r="38" ht="21.899999618530273" customHeight="1">
      <x:c r="A38" s="1"/>
      <x:c r="B38" s="1"/>
      <x:c r="C38" s="1"/>
      <x:c r="D38" s="1"/>
      <x:c r="E38" s="1"/>
      <x:c r="F38" s="1"/>
      <x:c r="G38" s="1"/>
      <x:c r="H38" s="1"/>
      <x:c r="I38" s="1"/>
      <x:c r="J38" s="1"/>
      <x:c r="K38" s="1"/>
      <x:c r="L38" s="1"/>
    </x:row>
    <x:row r="39" ht="21.899999618530273" customHeight="1">
      <x:c r="A39" s="1"/>
      <x:c r="B39" s="1"/>
      <x:c r="C39" s="1"/>
      <x:c r="D39" s="1"/>
      <x:c r="E39" s="1"/>
      <x:c r="F39" s="1"/>
      <x:c r="G39" s="1"/>
      <x:c r="H39" s="1"/>
      <x:c r="I39" s="1"/>
      <x:c r="J39" s="1"/>
      <x:c r="K39" s="1"/>
      <x:c r="L39" s="1"/>
    </x:row>
    <x:row r="40" ht="21.899999618530273" customHeight="1">
      <x:c r="A40" s="1"/>
      <x:c r="B40" s="1"/>
      <x:c r="C40" s="1"/>
      <x:c r="D40" s="1"/>
      <x:c r="E40" s="1"/>
      <x:c r="F40" s="1"/>
      <x:c r="G40" s="1"/>
      <x:c r="H40" s="1"/>
      <x:c r="I40" s="1"/>
      <x:c r="J40" s="1"/>
      <x:c r="K40" s="1"/>
      <x:c r="L40" s="1"/>
    </x:row>
    <x:row r="41" ht="21.899999618530273" customHeight="1">
      <x:c r="A41" s="1"/>
      <x:c r="B41" s="1"/>
      <x:c r="C41" s="1"/>
      <x:c r="D41" s="1"/>
      <x:c r="E41" s="1"/>
      <x:c r="F41" s="1"/>
      <x:c r="G41" s="1"/>
      <x:c r="H41" s="1"/>
      <x:c r="I41" s="1"/>
      <x:c r="J41" s="1"/>
      <x:c r="K41" s="1"/>
      <x:c r="L41" s="1"/>
    </x:row>
    <x:row r="42" ht="21.899999618530273" customHeight="1">
      <x:c r="A42" s="1"/>
      <x:c r="B42" s="1"/>
      <x:c r="C42" s="1"/>
      <x:c r="D42" s="1"/>
      <x:c r="E42" s="1"/>
      <x:c r="F42" s="1"/>
      <x:c r="G42" s="1"/>
      <x:c r="H42" s="1"/>
      <x:c r="I42" s="1"/>
      <x:c r="J42" s="1"/>
      <x:c r="K42" s="1"/>
      <x:c r="L42" s="1"/>
    </x:row>
    <x:row r="43" ht="21.899999618530273" customHeight="1">
      <x:c r="A43" s="1"/>
      <x:c r="B43" s="1"/>
      <x:c r="C43" s="1"/>
      <x:c r="D43" s="1"/>
      <x:c r="E43" s="1"/>
      <x:c r="F43" s="1"/>
      <x:c r="G43" s="1"/>
      <x:c r="H43" s="1"/>
      <x:c r="I43" s="1"/>
      <x:c r="J43" s="1"/>
      <x:c r="K43" s="1"/>
      <x:c r="L43" s="1"/>
    </x:row>
    <x:row r="44" ht="21.899999618530273" customHeight="1">
      <x:c r="A44" s="1"/>
      <x:c r="B44" s="1"/>
      <x:c r="C44" s="1"/>
      <x:c r="D44" s="1"/>
      <x:c r="E44" s="1"/>
      <x:c r="F44" s="1"/>
      <x:c r="G44" s="1"/>
      <x:c r="H44" s="1"/>
      <x:c r="I44" s="1"/>
      <x:c r="J44" s="1"/>
      <x:c r="K44" s="1"/>
      <x:c r="L44" s="1"/>
    </x:row>
    <x:row r="45" ht="21.899999618530273" customHeight="1">
      <x:c r="A45" s="1"/>
      <x:c r="B45" s="1"/>
      <x:c r="C45" s="1"/>
      <x:c r="D45" s="1"/>
      <x:c r="E45" s="1"/>
      <x:c r="F45" s="1"/>
      <x:c r="G45" s="1"/>
      <x:c r="H45" s="1"/>
      <x:c r="I45" s="1"/>
      <x:c r="J45" s="1"/>
      <x:c r="K45" s="1"/>
      <x:c r="L45" s="1"/>
    </x:row>
  </x:sheetData>
  <x:mergeCells>
    <x:mergeCell ref="B16:F17"/>
    <x:mergeCell ref="B19:F20"/>
    <x:mergeCell ref="B25:F25"/>
    <x:mergeCell ref="B1:G1"/>
    <x:mergeCell ref="B3:G3"/>
  </x:mergeCells>
  <x:dataValidations count="1">
    <x:dataValidation type="list" allowBlank="1" showInputMessage="1" showErrorMessage="1" errorTitle="Escala única de cinco estrellas" error="Selecciona uno de los cinco niveles de estrellas." sqref="E6:E13">
      <x:formula1>"★☆☆☆☆,★★☆☆☆,★★★☆☆,★★★★☆,★★★★★"</x:formula1>
    </x:dataValidation>
  </x:dataValidations>
  <x:hyperlinks>
    <x:hyperlink ref="B23" location="'Selector'!B1"/>
  </x:hyperlinks>
  <x:pageMargins left="0.7" right="0.7" top="0.75" bottom="0.75" header="0.3" footer="0.3"/>
  <x:legacyDrawing xmlns:r="http://schemas.openxmlformats.org/officeDocument/2006/relationships" r:id="R4f745c03b576466f"/>
  <x:tableParts count="1">
    <x:tablePart xmlns:r="http://schemas.openxmlformats.org/officeDocument/2006/relationships" r:id="R0fc551fb1d9f460f"/>
  </x:tableParts>
</x:worksheet>
</file>

<file path=xl/worksheets/sheet6.xml><?xml version="1.0" encoding="utf-8"?>
<x:worksheet xmlns:x="http://schemas.openxmlformats.org/spreadsheetml/2006/main">
  <x:sheetPr>
    <x:tabColor rgb="FF718096"/>
  </x:sheetPr>
  <x:sheetViews>
    <x:sheetView showGridLines="0" workbookViewId="0">
      <x:pane ySplit="1" topLeftCell="A2" activePane="bottomLeft" state="frozen"/>
    </x:sheetView>
  </x:sheetViews>
  <x:sheetFormatPr baseColWidth="10" defaultRowHeight="14.399999618530273"/>
  <x:cols>
    <x:col min="1" max="1" width="4.109375" customWidth="1"/>
    <x:col min="2" max="2" width="36.109375" customWidth="1"/>
    <x:col min="3" max="3" width="112.44140625" customWidth="1"/>
    <x:col min="4" max="6" width="6.6640625" customWidth="1"/>
  </x:cols>
  <x:sheetData>
    <x:row r="1" ht="45.900001525878906" customHeight="1">
      <x:c r="A1" s="1"/>
      <x:c r="B1" s="61" t="s">
        <x:v>257</x:v>
      </x:c>
      <x:c r="C1" s="61"/>
      <x:c r="D1" s="61"/>
      <x:c r="E1" s="61"/>
      <x:c r="F1" s="61"/>
      <x:c r="G1" s="1"/>
      <x:c r="H1" s="1"/>
      <x:c r="I1" s="1"/>
      <x:c r="J1" s="1"/>
      <x:c r="K1" s="1"/>
      <x:c r="L1" s="1"/>
    </x:row>
    <x:row r="2" ht="21.899999618530273" customHeight="1">
      <x:c r="A2" s="1"/>
      <x:c r="B2" s="1"/>
      <x:c r="C2" s="1"/>
      <x:c r="D2" s="1"/>
      <x:c r="E2" s="1"/>
      <x:c r="F2" s="1"/>
      <x:c r="G2" s="1"/>
      <x:c r="H2" s="1"/>
      <x:c r="I2" s="1"/>
      <x:c r="J2" s="1"/>
      <x:c r="K2" s="1"/>
      <x:c r="L2" s="1"/>
    </x:row>
    <x:row r="3" ht="21.899999618530273" customHeight="1">
      <x:c r="A3" s="1"/>
      <x:c r="B3" s="68" t="s">
        <x:v>258</x:v>
      </x:c>
      <x:c r="C3" s="68"/>
      <x:c r="D3" s="68"/>
      <x:c r="E3" s="68"/>
      <x:c r="F3" s="68"/>
      <x:c r="G3" s="1"/>
      <x:c r="H3" s="1"/>
      <x:c r="I3" s="1"/>
      <x:c r="J3" s="1"/>
      <x:c r="K3" s="1"/>
      <x:c r="L3" s="1"/>
    </x:row>
    <x:row r="4" ht="21.899999618530273" customHeight="1">
      <x:c r="A4" s="1"/>
      <x:c r="B4" s="1"/>
      <x:c r="C4" s="1"/>
      <x:c r="D4" s="1"/>
      <x:c r="E4" s="1"/>
      <x:c r="F4" s="1"/>
      <x:c r="G4" s="1"/>
      <x:c r="H4" s="1"/>
      <x:c r="I4" s="1"/>
      <x:c r="J4" s="1"/>
      <x:c r="K4" s="1"/>
      <x:c r="L4" s="1"/>
    </x:row>
    <x:row r="5" ht="30" customHeight="1">
      <x:c r="A5" s="1"/>
      <x:c r="B5" s="2" t="s">
        <x:v>259</x:v>
      </x:c>
      <x:c r="C5" s="2" t="s">
        <x:v>260</x:v>
      </x:c>
      <x:c r="D5" s="1"/>
      <x:c r="E5" s="1"/>
      <x:c r="F5" s="1"/>
      <x:c r="G5" s="1"/>
      <x:c r="H5" s="1"/>
      <x:c r="I5" s="1"/>
      <x:c r="J5" s="1"/>
      <x:c r="K5" s="1"/>
      <x:c r="L5" s="1"/>
    </x:row>
    <x:row r="6" ht="66" customHeight="1">
      <x:c r="A6" s="1"/>
      <x:c r="B6" s="17" t="s">
        <x:v>261</x:v>
      </x:c>
      <x:c r="C6" s="4" t="s">
        <x:v>262</x:v>
      </x:c>
      <x:c r="D6" s="1"/>
      <x:c r="E6" s="1"/>
      <x:c r="F6" s="1"/>
      <x:c r="G6" s="1"/>
      <x:c r="H6" s="1"/>
      <x:c r="I6" s="1"/>
      <x:c r="J6" s="1"/>
      <x:c r="K6" s="1"/>
      <x:c r="L6" s="1"/>
    </x:row>
    <x:row r="7" ht="66" customHeight="1">
      <x:c r="A7" s="1"/>
      <x:c r="B7" s="17" t="s">
        <x:v>263</x:v>
      </x:c>
      <x:c r="C7" s="4" t="s">
        <x:v>264</x:v>
      </x:c>
      <x:c r="D7" s="1"/>
      <x:c r="E7" s="1"/>
      <x:c r="F7" s="1"/>
      <x:c r="G7" s="1"/>
      <x:c r="H7" s="1"/>
      <x:c r="I7" s="1"/>
      <x:c r="J7" s="1"/>
      <x:c r="K7" s="1"/>
      <x:c r="L7" s="1"/>
    </x:row>
    <x:row r="8" ht="66" customHeight="1">
      <x:c r="A8" s="1"/>
      <x:c r="B8" s="17" t="s">
        <x:v>265</x:v>
      </x:c>
      <x:c r="C8" s="4" t="s">
        <x:v>266</x:v>
      </x:c>
      <x:c r="D8" s="1"/>
      <x:c r="E8" s="1"/>
      <x:c r="F8" s="1"/>
      <x:c r="G8" s="1"/>
      <x:c r="H8" s="1"/>
      <x:c r="I8" s="1"/>
      <x:c r="J8" s="1"/>
      <x:c r="K8" s="1"/>
      <x:c r="L8" s="1"/>
    </x:row>
    <x:row r="9" ht="66" customHeight="1">
      <x:c r="A9" s="1"/>
      <x:c r="B9" s="17" t="s">
        <x:v>267</x:v>
      </x:c>
      <x:c r="C9" s="4" t="s">
        <x:v>268</x:v>
      </x:c>
      <x:c r="D9" s="1"/>
      <x:c r="E9" s="1"/>
      <x:c r="F9" s="1"/>
      <x:c r="G9" s="1"/>
      <x:c r="H9" s="1"/>
      <x:c r="I9" s="1"/>
      <x:c r="J9" s="1"/>
      <x:c r="K9" s="1"/>
      <x:c r="L9" s="1"/>
    </x:row>
    <x:row r="10" ht="66" customHeight="1">
      <x:c r="A10" s="1"/>
      <x:c r="B10" s="17" t="s">
        <x:v>269</x:v>
      </x:c>
      <x:c r="C10" s="4" t="s">
        <x:v>270</x:v>
      </x:c>
      <x:c r="D10" s="1"/>
      <x:c r="E10" s="1"/>
      <x:c r="F10" s="1"/>
      <x:c r="G10" s="1"/>
      <x:c r="H10" s="1"/>
      <x:c r="I10" s="1"/>
      <x:c r="J10" s="1"/>
      <x:c r="K10" s="1"/>
      <x:c r="L10" s="1"/>
    </x:row>
    <x:row r="11" ht="66" customHeight="1">
      <x:c r="A11" s="1"/>
      <x:c r="B11" s="17" t="s">
        <x:v>271</x:v>
      </x:c>
      <x:c r="C11" s="4" t="s">
        <x:v>272</x:v>
      </x:c>
      <x:c r="D11" s="1"/>
      <x:c r="E11" s="1"/>
      <x:c r="F11" s="1"/>
      <x:c r="G11" s="1"/>
      <x:c r="H11" s="1"/>
      <x:c r="I11" s="1"/>
      <x:c r="J11" s="1"/>
      <x:c r="K11" s="1"/>
      <x:c r="L11" s="1"/>
    </x:row>
    <x:row r="12" ht="66" customHeight="1">
      <x:c r="A12" s="1"/>
      <x:c r="B12" s="17" t="s">
        <x:v>273</x:v>
      </x:c>
      <x:c r="C12" s="4" t="s">
        <x:v>274</x:v>
      </x:c>
      <x:c r="D12" s="1"/>
      <x:c r="E12" s="1"/>
      <x:c r="F12" s="1"/>
      <x:c r="G12" s="1"/>
      <x:c r="H12" s="1"/>
      <x:c r="I12" s="1"/>
      <x:c r="J12" s="1"/>
      <x:c r="K12" s="1"/>
      <x:c r="L12" s="1"/>
    </x:row>
    <x:row r="13" ht="66" customHeight="1">
      <x:c r="A13" s="1"/>
      <x:c r="B13" s="17" t="s">
        <x:v>275</x:v>
      </x:c>
      <x:c r="C13" s="4" t="s">
        <x:v>276</x:v>
      </x:c>
      <x:c r="D13" s="1"/>
      <x:c r="E13" s="1"/>
      <x:c r="F13" s="1"/>
      <x:c r="G13" s="1"/>
      <x:c r="H13" s="1"/>
      <x:c r="I13" s="1"/>
      <x:c r="J13" s="1"/>
      <x:c r="K13" s="1"/>
      <x:c r="L13" s="1"/>
    </x:row>
    <x:row r="14" ht="66" customHeight="1">
      <x:c r="A14" s="1"/>
      <x:c r="B14" s="17" t="s">
        <x:v>277</x:v>
      </x:c>
      <x:c r="C14" s="4" t="s">
        <x:v>278</x:v>
      </x:c>
      <x:c r="D14" s="1"/>
      <x:c r="E14" s="1"/>
      <x:c r="F14" s="1"/>
      <x:c r="G14" s="1"/>
      <x:c r="H14" s="1"/>
      <x:c r="I14" s="1"/>
      <x:c r="J14" s="1"/>
      <x:c r="K14" s="1"/>
      <x:c r="L14" s="1"/>
    </x:row>
    <x:row r="15" ht="75.9000015258789" customHeight="1">
      <x:c r="A15" s="1"/>
      <x:c r="B15" s="17" t="s">
        <x:v>279</x:v>
      </x:c>
      <x:c r="C15" s="4" t="s">
        <x:v>280</x:v>
      </x:c>
      <x:c r="D15" s="1"/>
      <x:c r="E15" s="1"/>
      <x:c r="F15" s="1"/>
      <x:c r="G15" s="1"/>
      <x:c r="H15" s="1"/>
      <x:c r="I15" s="1"/>
      <x:c r="J15" s="1"/>
      <x:c r="K15" s="1"/>
      <x:c r="L15" s="1"/>
    </x:row>
    <x:row r="16" ht="75.9000015258789" customHeight="1">
      <x:c r="A16" s="1"/>
      <x:c r="B16" s="17" t="s">
        <x:v>281</x:v>
      </x:c>
      <x:c r="C16" s="4" t="s">
        <x:v>282</x:v>
      </x:c>
      <x:c r="D16" s="1"/>
      <x:c r="E16" s="1"/>
      <x:c r="F16" s="1"/>
      <x:c r="G16" s="1"/>
      <x:c r="H16" s="1"/>
      <x:c r="I16" s="1"/>
      <x:c r="J16" s="1"/>
      <x:c r="K16" s="1"/>
      <x:c r="L16" s="1"/>
    </x:row>
    <x:row r="17" ht="75.9000015258789" customHeight="1">
      <x:c r="A17" s="1"/>
      <x:c r="B17" s="17" t="s">
        <x:v>283</x:v>
      </x:c>
      <x:c r="C17" s="4" t="s">
        <x:v>284</x:v>
      </x:c>
      <x:c r="D17" s="1"/>
      <x:c r="E17" s="1"/>
      <x:c r="F17" s="1"/>
      <x:c r="G17" s="1"/>
      <x:c r="H17" s="1"/>
      <x:c r="I17" s="1"/>
      <x:c r="J17" s="1"/>
      <x:c r="K17" s="1"/>
      <x:c r="L17" s="1"/>
    </x:row>
    <x:row r="18" ht="66" customHeight="1">
      <x:c r="A18" s="1"/>
      <x:c r="B18" s="17" t="s">
        <x:v>285</x:v>
      </x:c>
      <x:c r="C18" s="4" t="s">
        <x:v>286</x:v>
      </x:c>
      <x:c r="D18" s="1"/>
      <x:c r="E18" s="1"/>
      <x:c r="F18" s="1"/>
      <x:c r="G18" s="1"/>
      <x:c r="H18" s="1"/>
      <x:c r="I18" s="1"/>
      <x:c r="J18" s="1"/>
      <x:c r="K18" s="1"/>
      <x:c r="L18" s="1"/>
    </x:row>
    <x:row r="19" ht="66" customHeight="1">
      <x:c r="A19" s="1"/>
      <x:c r="B19" s="17" t="s">
        <x:v>287</x:v>
      </x:c>
      <x:c r="C19" s="4" t="s">
        <x:v>288</x:v>
      </x:c>
      <x:c r="D19" s="1"/>
      <x:c r="E19" s="1"/>
      <x:c r="F19" s="1"/>
      <x:c r="G19" s="1"/>
      <x:c r="H19" s="1"/>
      <x:c r="I19" s="1"/>
      <x:c r="J19" s="1"/>
      <x:c r="K19" s="1"/>
      <x:c r="L19" s="1"/>
    </x:row>
    <x:row r="20" ht="66" customHeight="1">
      <x:c r="A20" s="1"/>
      <x:c r="B20" s="17" t="s">
        <x:v>289</x:v>
      </x:c>
      <x:c r="C20" s="4" t="s">
        <x:v>290</x:v>
      </x:c>
      <x:c r="D20" s="1"/>
      <x:c r="E20" s="1"/>
      <x:c r="F20" s="1"/>
      <x:c r="G20" s="1"/>
      <x:c r="H20" s="1"/>
      <x:c r="I20" s="1"/>
      <x:c r="J20" s="1"/>
      <x:c r="K20" s="1"/>
      <x:c r="L20" s="1"/>
    </x:row>
    <x:row r="21" ht="66" customHeight="1">
      <x:c r="A21" s="1"/>
      <x:c r="B21" s="17" t="s">
        <x:v>291</x:v>
      </x:c>
      <x:c r="C21" s="4" t="s">
        <x:v>292</x:v>
      </x:c>
      <x:c r="D21" s="1"/>
      <x:c r="E21" s="1"/>
      <x:c r="F21" s="1"/>
      <x:c r="G21" s="1"/>
      <x:c r="H21" s="1"/>
      <x:c r="I21" s="1"/>
      <x:c r="J21" s="1"/>
      <x:c r="K21" s="1"/>
      <x:c r="L21" s="1"/>
    </x:row>
    <x:row r="22" ht="66" customHeight="1">
      <x:c r="A22" s="1"/>
      <x:c r="B22" s="17" t="s">
        <x:v>293</x:v>
      </x:c>
      <x:c r="C22" s="4" t="s">
        <x:v>294</x:v>
      </x:c>
      <x:c r="D22" s="1"/>
      <x:c r="E22" s="1"/>
      <x:c r="F22" s="1"/>
      <x:c r="G22" s="1"/>
      <x:c r="H22" s="1"/>
      <x:c r="I22" s="1"/>
      <x:c r="J22" s="1"/>
      <x:c r="K22" s="1"/>
      <x:c r="L22" s="1"/>
    </x:row>
    <x:row r="23" ht="21.899999618530273" customHeight="1">
      <x:c r="A23" s="1"/>
      <x:c r="B23" s="1"/>
      <x:c r="C23" s="1"/>
      <x:c r="D23" s="1"/>
      <x:c r="E23" s="1"/>
      <x:c r="F23" s="1"/>
      <x:c r="G23" s="1"/>
      <x:c r="H23" s="1"/>
      <x:c r="I23" s="1"/>
      <x:c r="J23" s="1"/>
      <x:c r="K23" s="1"/>
      <x:c r="L23" s="1"/>
    </x:row>
    <x:row r="24" ht="21.899999618530273" customHeight="1">
      <x:c r="A24" s="1"/>
      <x:c r="B24" s="1"/>
      <x:c r="C24" s="1"/>
      <x:c r="D24" s="1"/>
      <x:c r="E24" s="1"/>
      <x:c r="F24" s="1"/>
      <x:c r="G24" s="1"/>
      <x:c r="H24" s="1"/>
      <x:c r="I24" s="1"/>
      <x:c r="J24" s="1"/>
      <x:c r="K24" s="1"/>
      <x:c r="L24" s="1"/>
    </x:row>
    <x:row r="25" ht="21.899999618530273" customHeight="1">
      <x:c r="A25" s="1"/>
      <x:c r="B25" s="71" t="s">
        <x:v>295</x:v>
      </x:c>
      <x:c r="C25" s="71"/>
      <x:c r="D25" s="1"/>
      <x:c r="E25" s="1"/>
      <x:c r="F25" s="1"/>
      <x:c r="G25" s="1"/>
      <x:c r="H25" s="1"/>
      <x:c r="I25" s="1"/>
      <x:c r="J25" s="1"/>
      <x:c r="K25" s="1"/>
      <x:c r="L25" s="1"/>
    </x:row>
    <x:row r="26" ht="51.900001525878906" customHeight="1">
      <x:c r="A26" s="1"/>
      <x:c r="B26" s="1" t="s">
        <x:v>296</x:v>
      </x:c>
      <x:c r="C26" s="8" t="s">
        <x:v>297</x:v>
      </x:c>
      <x:c r="D26" s="1"/>
      <x:c r="E26" s="1"/>
      <x:c r="F26" s="1"/>
      <x:c r="G26" s="1"/>
      <x:c r="H26" s="1"/>
      <x:c r="I26" s="1"/>
      <x:c r="J26" s="1"/>
      <x:c r="K26" s="1"/>
      <x:c r="L26" s="1"/>
    </x:row>
    <x:row r="27" ht="21.899999618530273" customHeight="1">
      <x:c r="A27" s="1"/>
      <x:c r="B27" s="1"/>
      <x:c r="C27" s="1"/>
      <x:c r="D27" s="1"/>
      <x:c r="E27" s="1"/>
      <x:c r="F27" s="1"/>
      <x:c r="G27" s="1"/>
      <x:c r="H27" s="1"/>
      <x:c r="I27" s="1"/>
      <x:c r="J27" s="1"/>
      <x:c r="K27" s="1"/>
      <x:c r="L27" s="1"/>
    </x:row>
    <x:row r="28" ht="38.099998474121094" customHeight="1">
      <x:c r="A28" s="1"/>
      <x:c r="B28" s="8" t="s">
        <x:v>298</x:v>
      </x:c>
      <x:c r="C28" s="6" t="s">
        <x:v>299</x:v>
      </x:c>
      <x:c r="D28" s="1"/>
      <x:c r="E28" s="1"/>
      <x:c r="F28" s="1"/>
      <x:c r="G28" s="1"/>
      <x:c r="H28" s="1"/>
      <x:c r="I28" s="1"/>
      <x:c r="J28" s="1"/>
      <x:c r="K28" s="1"/>
      <x:c r="L28" s="1"/>
    </x:row>
    <x:row r="29" ht="38.099998474121094" customHeight="1">
      <x:c r="A29" s="1"/>
      <x:c r="B29" s="8" t="s">
        <x:v>300</x:v>
      </x:c>
      <x:c r="C29" s="6" t="s">
        <x:v>301</x:v>
      </x:c>
      <x:c r="D29" s="1"/>
      <x:c r="E29" s="1"/>
      <x:c r="F29" s="1"/>
      <x:c r="G29" s="1"/>
      <x:c r="H29" s="1"/>
      <x:c r="I29" s="1"/>
      <x:c r="J29" s="1"/>
      <x:c r="K29" s="1"/>
      <x:c r="L29" s="1"/>
    </x:row>
    <x:row r="30" ht="21.899999618530273" customHeight="1">
      <x:c r="A30" s="1"/>
      <x:c r="B30" s="1"/>
      <x:c r="C30" s="1"/>
      <x:c r="D30" s="1"/>
      <x:c r="E30" s="1"/>
      <x:c r="F30" s="1"/>
      <x:c r="G30" s="1"/>
      <x:c r="H30" s="1"/>
      <x:c r="I30" s="1"/>
      <x:c r="J30" s="1"/>
      <x:c r="K30" s="1"/>
      <x:c r="L30" s="1"/>
    </x:row>
    <x:row r="31" ht="21.899999618530273" customHeight="1">
      <x:c r="A31" s="1"/>
      <x:c r="B31" s="70" t="s">
        <x:v>302</x:v>
      </x:c>
      <x:c r="C31" s="70"/>
      <x:c r="D31" s="1"/>
      <x:c r="E31" s="1"/>
      <x:c r="F31" s="1"/>
      <x:c r="G31" s="1"/>
      <x:c r="H31" s="1"/>
      <x:c r="I31" s="1"/>
      <x:c r="J31" s="1"/>
      <x:c r="K31" s="1"/>
      <x:c r="L31" s="1"/>
    </x:row>
    <x:row r="32" ht="21.899999618530273" customHeight="1">
      <x:c r="A32" s="1"/>
      <x:c r="B32" s="70"/>
      <x:c r="C32" s="70"/>
      <x:c r="D32" s="1"/>
      <x:c r="E32" s="1"/>
      <x:c r="F32" s="1"/>
      <x:c r="G32" s="1"/>
      <x:c r="H32" s="1"/>
      <x:c r="I32" s="1"/>
      <x:c r="J32" s="1"/>
      <x:c r="K32" s="1"/>
      <x:c r="L32" s="1"/>
    </x:row>
    <x:row r="33" ht="21.899999618530273" customHeight="1">
      <x:c r="A33" s="1"/>
      <x:c r="B33" s="1"/>
      <x:c r="C33" s="1"/>
      <x:c r="D33" s="1"/>
      <x:c r="E33" s="1"/>
      <x:c r="F33" s="1"/>
      <x:c r="G33" s="1"/>
      <x:c r="H33" s="1"/>
      <x:c r="I33" s="1"/>
      <x:c r="J33" s="1"/>
      <x:c r="K33" s="1"/>
      <x:c r="L33" s="1"/>
    </x:row>
    <x:row r="34" ht="21.899999618530273" customHeight="1">
      <x:c r="A34" s="1"/>
      <x:c r="B34" s="1"/>
      <x:c r="C34" s="1"/>
      <x:c r="D34" s="1"/>
      <x:c r="E34" s="1"/>
      <x:c r="F34" s="1"/>
      <x:c r="G34" s="1"/>
      <x:c r="H34" s="1"/>
      <x:c r="I34" s="1"/>
      <x:c r="J34" s="1"/>
      <x:c r="K34" s="1"/>
      <x:c r="L34" s="1"/>
    </x:row>
    <x:row r="35" ht="21.899999618530273" customHeight="1">
      <x:c r="A35" s="1"/>
      <x:c r="B35" s="6" t="s">
        <x:v>159</x:v>
      </x:c>
      <x:c r="C35" s="1"/>
      <x:c r="D35" s="1"/>
      <x:c r="E35" s="1"/>
      <x:c r="F35" s="1"/>
      <x:c r="G35" s="1"/>
      <x:c r="H35" s="1"/>
      <x:c r="I35" s="1"/>
      <x:c r="J35" s="1"/>
      <x:c r="K35" s="1"/>
      <x:c r="L35" s="1"/>
    </x:row>
    <x:row r="36" ht="21.899999618530273" customHeight="1">
      <x:c r="A36" s="1"/>
      <x:c r="B36" s="1"/>
      <x:c r="C36" s="1"/>
      <x:c r="D36" s="1"/>
      <x:c r="E36" s="1"/>
      <x:c r="F36" s="1"/>
      <x:c r="G36" s="1"/>
      <x:c r="H36" s="1"/>
      <x:c r="I36" s="1"/>
      <x:c r="J36" s="1"/>
      <x:c r="K36" s="1"/>
      <x:c r="L36" s="1"/>
    </x:row>
    <x:row r="37" ht="21.899999618530273" customHeight="1">
      <x:c r="A37" s="1"/>
      <x:c r="B37" s="71" t="s">
        <x:v>303</x:v>
      </x:c>
      <x:c r="C37" s="71"/>
      <x:c r="D37" s="1"/>
      <x:c r="E37" s="1"/>
      <x:c r="F37" s="1"/>
      <x:c r="G37" s="1"/>
      <x:c r="H37" s="1"/>
      <x:c r="I37" s="1"/>
      <x:c r="J37" s="1"/>
      <x:c r="K37" s="1"/>
      <x:c r="L37" s="1"/>
    </x:row>
    <x:row r="38" ht="27" customHeight="1">
      <x:c r="A38" s="1"/>
      <x:c r="B38" s="18" t="s">
        <x:v>304</x:v>
      </x:c>
      <x:c r="C38" s="19">
        <x:f>ROWS(tblAlianza[Clase])+ROWS(tblHorda[Clase])</x:f>
        <x:v>51</x:v>
      </x:c>
      <x:c r="D38" s="1"/>
      <x:c r="E38" s="1"/>
      <x:c r="F38" s="1"/>
      <x:c r="G38" s="1"/>
      <x:c r="H38" s="1"/>
      <x:c r="I38" s="1"/>
      <x:c r="J38" s="1"/>
      <x:c r="K38" s="1"/>
      <x:c r="L38" s="1"/>
    </x:row>
    <x:row r="39" ht="27" customHeight="1">
      <x:c r="A39" s="1"/>
      <x:c r="B39" s="18" t="s">
        <x:v>305</x:v>
      </x:c>
      <x:c r="C39" s="19" cm="1">
        <x:f t="array" ref="C39">ROWS(tblAlianza[Clase])-ROWS(_xlfn.UNIQUE(tblAlianza[Clase]&amp;"|"&amp;tblAlianza[Especialización]))+ROWS(tblHorda[Clase])-ROWS(_xlfn.UNIQUE(tblHorda[Clase]&amp;"|"&amp;tblHorda[Especialización]))</x:f>
        <x:v>0</x:v>
      </x:c>
      <x:c r="D39" s="1"/>
      <x:c r="E39" s="1"/>
      <x:c r="F39" s="1"/>
      <x:c r="G39" s="1"/>
      <x:c r="H39" s="1"/>
      <x:c r="I39" s="1"/>
      <x:c r="J39" s="1"/>
      <x:c r="K39" s="1"/>
      <x:c r="L39" s="1"/>
    </x:row>
    <x:row r="40" ht="27" customHeight="1">
      <x:c r="A40" s="1"/>
      <x:c r="B40" s="18" t="s">
        <x:v>306</x:v>
      </x:c>
      <x:c r="C40" s="19" cm="1">
        <x:f t="array" ref="C40">SUM(--ISNA(_xlfn.XMATCH(tblAlianza[Raza recomendada],tblRaciales[Raza])))+SUM(--ISNA(_xlfn.XMATCH(tblHorda[Raza recomendada],tblRaciales[Raza])))</x:f>
        <x:v>0</x:v>
      </x:c>
      <x:c r="D40" s="1"/>
      <x:c r="E40" s="1"/>
      <x:c r="F40" s="1"/>
      <x:c r="G40" s="1"/>
      <x:c r="H40" s="1"/>
      <x:c r="I40" s="1"/>
      <x:c r="J40" s="1"/>
      <x:c r="K40" s="1"/>
      <x:c r="L40" s="1"/>
    </x:row>
    <x:row r="41" ht="27" customHeight="1">
      <x:c r="A41" s="1"/>
      <x:c r="B41" s="18" t="s">
        <x:v>307</x:v>
      </x:c>
      <x:c r="C41" s="19">
        <x:f>COUNTBLANK(tblAlianza[#Data])+COUNTBLANK(tblHorda[#Data])+COUNTBLANK(tblRaciales[#Data])</x:f>
        <x:v>0</x:v>
      </x:c>
      <x:c r="D41" s="1"/>
      <x:c r="E41" s="1"/>
      <x:c r="F41" s="1"/>
      <x:c r="G41" s="1"/>
      <x:c r="H41" s="1"/>
      <x:c r="I41" s="1"/>
      <x:c r="J41" s="1"/>
      <x:c r="K41" s="1"/>
      <x:c r="L41" s="1"/>
    </x:row>
    <x:row r="42" ht="27" customHeight="1">
      <x:c r="A42" s="1"/>
      <x:c r="B42" s="18" t="s">
        <x:v>308</x:v>
      </x:c>
      <x:c r="C42" s="20" t="str">
        <x:f>IF(AND(C39=0,C40=0,C41=0),"OK · base completa","REVISAR BASE")</x:f>
        <x:v>OK · base completa</x:v>
      </x:c>
      <x:c r="D42" s="1"/>
      <x:c r="E42" s="1"/>
      <x:c r="F42" s="1"/>
      <x:c r="G42" s="1"/>
      <x:c r="H42" s="1"/>
      <x:c r="I42" s="1"/>
      <x:c r="J42" s="1"/>
      <x:c r="K42" s="1"/>
      <x:c r="L42" s="1"/>
    </x:row>
    <x:row r="43" ht="21.899999618530273" customHeight="1">
      <x:c r="A43" s="1"/>
      <x:c r="B43" s="1"/>
      <x:c r="C43" s="1"/>
      <x:c r="D43" s="1"/>
      <x:c r="E43" s="1"/>
      <x:c r="F43" s="1"/>
      <x:c r="G43" s="1"/>
      <x:c r="H43" s="1"/>
      <x:c r="I43" s="1"/>
      <x:c r="J43" s="1"/>
      <x:c r="K43" s="1"/>
      <x:c r="L43" s="1"/>
    </x:row>
    <x:row r="44" ht="42" customHeight="1">
      <x:c r="A44" s="1"/>
      <x:c r="B44" s="39" t="s">
        <x:v>309</x:v>
      </x:c>
      <x:c r="C44" s="40" t="s">
        <x:v>310</x:v>
      </x:c>
      <x:c r="D44" s="1"/>
      <x:c r="E44" s="1"/>
      <x:c r="F44" s="1"/>
      <x:c r="G44" s="1"/>
      <x:c r="H44" s="1"/>
      <x:c r="I44" s="1"/>
      <x:c r="J44" s="1"/>
      <x:c r="K44" s="1"/>
      <x:c r="L44" s="1"/>
    </x:row>
    <x:row r="45" ht="21.899999618530273" customHeight="1">
      <x:c r="A45" s="1"/>
      <x:c r="B45" s="47" t="s">
        <x:v>62</x:v>
      </x:c>
      <x:c r="C45" s="47"/>
      <x:c r="D45" s="1"/>
      <x:c r="E45" s="1"/>
      <x:c r="F45" s="1"/>
      <x:c r="G45" s="1"/>
      <x:c r="H45" s="1"/>
      <x:c r="I45" s="1"/>
      <x:c r="J45" s="1"/>
      <x:c r="K45" s="1"/>
      <x:c r="L45" s="1"/>
    </x:row>
    <x:row r="47" ht="36" customHeight="1">
      <x:c r="B47" s="69" t="s">
        <x:v>287</x:v>
      </x:c>
      <x:c r="C47" s="69"/>
    </x:row>
    <x:row r="48" ht="27.899999618530273" customHeight="1">
      <x:c r="B48" s="62" t="s">
        <x:v>311</x:v>
      </x:c>
      <x:c r="C48" s="62"/>
    </x:row>
    <x:row r="50" ht="32.099998474121094" customHeight="1">
      <x:c r="B50" s="33" t="s">
        <x:v>38</x:v>
      </x:c>
      <x:c r="C50" s="34" t="s">
        <x:v>312</x:v>
      </x:c>
    </x:row>
    <x:row r="51" ht="32.099998474121094" customHeight="1">
      <x:c r="B51" s="33" t="s">
        <x:v>42</x:v>
      </x:c>
      <x:c r="C51" s="34" t="s">
        <x:v>81</x:v>
      </x:c>
    </x:row>
    <x:row r="52" ht="32.099998474121094" customHeight="1">
      <x:c r="B52" s="33" t="s">
        <x:v>313</x:v>
      </x:c>
      <x:c r="C52" s="34" t="s">
        <x:v>314</x:v>
      </x:c>
    </x:row>
    <x:row r="53" ht="32.099998474121094" customHeight="1">
      <x:c r="B53" s="33" t="s">
        <x:v>315</x:v>
      </x:c>
      <x:c r="C53" s="34" t="s">
        <x:v>316</x:v>
      </x:c>
    </x:row>
    <x:row r="54" ht="90" customHeight="1">
      <x:c r="B54" s="33" t="s">
        <x:v>317</x:v>
      </x:c>
      <x:c r="C54" s="34" t="s">
        <x:v>318</x:v>
      </x:c>
    </x:row>
    <x:row r="57" ht="32.099998474121094" customHeight="1">
      <x:c r="B57" s="33" t="s">
        <x:v>38</x:v>
      </x:c>
      <x:c r="C57" s="34" t="s">
        <x:v>312</x:v>
      </x:c>
    </x:row>
    <x:row r="58" ht="32.099998474121094" customHeight="1">
      <x:c r="B58" s="33" t="s">
        <x:v>42</x:v>
      </x:c>
      <x:c r="C58" s="34" t="s">
        <x:v>319</x:v>
      </x:c>
    </x:row>
    <x:row r="59" ht="32.099998474121094" customHeight="1">
      <x:c r="B59" s="33" t="s">
        <x:v>313</x:v>
      </x:c>
      <x:c r="C59" s="34" t="s">
        <x:v>320</x:v>
      </x:c>
    </x:row>
    <x:row r="60" ht="32.099998474121094" customHeight="1">
      <x:c r="B60" s="33" t="s">
        <x:v>315</x:v>
      </x:c>
      <x:c r="C60" s="34" t="s">
        <x:v>321</x:v>
      </x:c>
    </x:row>
    <x:row r="61" ht="90" customHeight="1">
      <x:c r="B61" s="33" t="s">
        <x:v>317</x:v>
      </x:c>
      <x:c r="C61" s="34" t="s">
        <x:v>322</x:v>
      </x:c>
    </x:row>
    <x:row r="63">
      <x:c r="B63" s="6" t="s">
        <x:v>159</x:v>
      </x:c>
    </x:row>
    <x:row r="64">
      <x:c r="B64" s="47" t="s">
        <x:v>323</x:v>
      </x:c>
      <x:c r="C64" s="47"/>
    </x:row>
    <x:row r="67" ht="36" customHeight="1">
      <x:c r="B67" s="41" t="s">
        <x:v>324</x:v>
      </x:c>
      <x:c r="C67" s="42" t="s">
        <x:v>325</x:v>
      </x:c>
    </x:row>
    <x:row r="68" ht="90" customHeight="1">
      <x:c r="B68" s="43" t="s">
        <x:v>326</x:v>
      </x:c>
      <x:c r="C68" s="44" t="s">
        <x:v>327</x:v>
      </x:c>
    </x:row>
    <x:row r="69" ht="90" customHeight="1">
      <x:c r="B69" s="43" t="s">
        <x:v>328</x:v>
      </x:c>
      <x:c r="C69" s="44" t="s">
        <x:v>329</x:v>
      </x:c>
    </x:row>
    <x:row r="70" ht="90" customHeight="1">
      <x:c r="B70" s="43" t="s">
        <x:v>330</x:v>
      </x:c>
      <x:c r="C70" s="44" t="s">
        <x:v>331</x:v>
      </x:c>
    </x:row>
    <x:row r="72" ht="27.899999618530273" customHeight="1">
      <x:c r="B72" s="70" t="s">
        <x:v>332</x:v>
      </x:c>
      <x:c r="C72" s="70"/>
    </x:row>
    <x:row r="73" ht="27.899999618530273" customHeight="1">
      <x:c r="B73" s="70"/>
      <x:c r="C73" s="70"/>
    </x:row>
  </x:sheetData>
  <x:mergeCells>
    <x:mergeCell ref="B47:C47"/>
    <x:mergeCell ref="B48:C48"/>
    <x:mergeCell ref="B64:C64"/>
    <x:mergeCell ref="B72:C73"/>
    <x:mergeCell ref="B1:F1"/>
    <x:mergeCell ref="B3:F3"/>
    <x:mergeCell ref="B25:C25"/>
    <x:mergeCell ref="B31:C32"/>
    <x:mergeCell ref="B37:C37"/>
    <x:mergeCell ref="B45:C45"/>
  </x:mergeCells>
  <x:conditionalFormatting sqref="C42:C42">
    <x:cfRule type="expression" dxfId="1" priority="1">
      <x:formula>AND(C39=0,C40=0,C41=0)</x:formula>
    </x:cfRule>
    <x:cfRule type="expression" dxfId="0" priority="2">
      <x:formula>OR(C39&lt;&gt;0,C40&lt;&gt;0,C41&lt;&gt;0)</x:formula>
    </x:cfRule>
  </x:conditionalFormatting>
  <x:hyperlinks>
    <x:hyperlink xmlns:r="http://schemas.openxmlformats.org/officeDocument/2006/relationships" ref="C28" r:id="R0f9e5da68bfa442d"/>
    <x:hyperlink xmlns:r="http://schemas.openxmlformats.org/officeDocument/2006/relationships" ref="C29" r:id="Rb272f939209a4634"/>
    <x:hyperlink ref="B35" location="'Selector'!B1"/>
    <x:hyperlink ref="B63" location="'Selector'!B1"/>
  </x:hyperlinks>
  <x:pageMargins left="0.7" right="0.7" top="0.75" bottom="0.75" header="0.3" footer="0.3"/>
  <x:legacyDrawing xmlns:r="http://schemas.openxmlformats.org/officeDocument/2006/relationships" r:id="Rf6bbd1b596164997"/>
  <x:tableParts count="1">
    <x:tablePart xmlns:r="http://schemas.openxmlformats.org/officeDocument/2006/relationships" r:id="Rb28cbd5e021945cc"/>
  </x:tableParts>
</x:worksheet>
</file>